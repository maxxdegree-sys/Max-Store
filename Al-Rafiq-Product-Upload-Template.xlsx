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Instructions" sheetId="2" state="visible" r:id="rId4"/>
    <sheet name="Categories" sheetId="3" state="visible" r:id="rId5"/>
    <sheet name="Tag Reference" sheetId="4" state="visible" r:id="rId6"/>
    <sheet name="Sample Data" sheetId="5" state="visible" r:id="rId7"/>
  </sheets>
  <definedNames>
    <definedName function="false" hidden="false" name="CategorySlugs" vbProcedure="false">Categories!$B$2:$B$11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<sst xmlns="http://schemas.openxmlformats.org/spreadsheetml/2006/main" count="193" uniqueCount="160">
  <si>
    <t xml:space="preserve">ID</t>
  </si>
  <si>
    <t xml:space="preserve">Title</t>
  </si>
  <si>
    <t xml:space="preserve">Slug</t>
  </si>
  <si>
    <t xml:space="preserve">Brand</t>
  </si>
  <si>
    <t xml:space="preserve">Category</t>
  </si>
  <si>
    <t xml:space="preserve">Price (PKR)</t>
  </si>
  <si>
    <t xml:space="preserve">MRP (PKR)</t>
  </si>
  <si>
    <t xml:space="preserve">Discount %</t>
  </si>
  <si>
    <t xml:space="preserve">Stock</t>
  </si>
  <si>
    <t xml:space="preserve">Sold</t>
  </si>
  <si>
    <t xml:space="preserve">Rating</t>
  </si>
  <si>
    <t xml:space="preserve">Reviews</t>
  </si>
  <si>
    <t xml:space="preserve">Variants</t>
  </si>
  <si>
    <t xml:space="preserve">Short Description</t>
  </si>
  <si>
    <t xml:space="preserve">Full Description</t>
  </si>
  <si>
    <t xml:space="preserve">Image 1 URL</t>
  </si>
  <si>
    <t xml:space="preserve">Image 2 URL</t>
  </si>
  <si>
    <t xml:space="preserve">Image 3 URL</t>
  </si>
  <si>
    <t xml:space="preserve">Spec 1 Name</t>
  </si>
  <si>
    <t xml:space="preserve">Spec 1 Value</t>
  </si>
  <si>
    <t xml:space="preserve">Spec 2 Name</t>
  </si>
  <si>
    <t xml:space="preserve">Spec 2 Value</t>
  </si>
  <si>
    <t xml:space="preserve">Spec 3 Name</t>
  </si>
  <si>
    <t xml:space="preserve">Spec 3 Value</t>
  </si>
  <si>
    <t xml:space="preserve">Spec 4 Name</t>
  </si>
  <si>
    <t xml:space="preserve">Spec 4 Value</t>
  </si>
  <si>
    <t xml:space="preserve">Tag: new-arrival</t>
  </si>
  <si>
    <t xml:space="preserve">Tag: best-seller</t>
  </si>
  <si>
    <t xml:space="preserve">Tag: featured</t>
  </si>
  <si>
    <t xml:space="preserve">Tag: trending</t>
  </si>
  <si>
    <t xml:space="preserve">Tag: flash-sale</t>
  </si>
  <si>
    <t xml:space="preserve">Tag: gift-pick</t>
  </si>
  <si>
    <t xml:space="preserve">Tags Summary</t>
  </si>
  <si>
    <t xml:space="preserve">Status</t>
  </si>
  <si>
    <t xml:space="preserve">p25</t>
  </si>
  <si>
    <t xml:space="preserve">Premium Espresso Coffee Maker 4-Cup</t>
  </si>
  <si>
    <t xml:space="preserve">Brewly</t>
  </si>
  <si>
    <t xml:space="preserve">kitchen-appliances</t>
  </si>
  <si>
    <t xml:space="preserve">Black, Silver</t>
  </si>
  <si>
    <t xml:space="preserve">Compact 4-cup espresso maker with steam wand and dual-cup tray.</t>
  </si>
  <si>
    <t xml:space="preserve">Brew rich crema-topped espresso at home. 800W heating element, ABS housing with brushed stainless trim, removable drip tray, and a built-in steam wand for cappuccinos and lattes.</t>
  </si>
  <si>
    <t xml:space="preserve">https://images.unsplash.com/photo-1521017432531-fbd92d768814?w=800&amp;q=80&amp;auto=format&amp;fit=crop</t>
  </si>
  <si>
    <t xml:space="preserve">Power</t>
  </si>
  <si>
    <t xml:space="preserve">800W</t>
  </si>
  <si>
    <t xml:space="preserve">Capacity</t>
  </si>
  <si>
    <t xml:space="preserve">4 cups</t>
  </si>
  <si>
    <t xml:space="preserve">Warranty</t>
  </si>
  <si>
    <t xml:space="preserve">1 Year</t>
  </si>
  <si>
    <t xml:space="preserve">Voltage</t>
  </si>
  <si>
    <t xml:space="preserve">220V</t>
  </si>
  <si>
    <t xml:space="preserve">TRUE</t>
  </si>
  <si>
    <t xml:space="preserve">FALSE</t>
  </si>
  <si>
    <t xml:space="preserve">p26</t>
  </si>
  <si>
    <t xml:space="preserve">Stainless Steel Cutlery Set 24-Piece</t>
  </si>
  <si>
    <t xml:space="preserve">Al Rafiq</t>
  </si>
  <si>
    <t xml:space="preserve">crockery</t>
  </si>
  <si>
    <t xml:space="preserve">Mirror-polished 24-piece cutlery set — service for 6.</t>
  </si>
  <si>
    <t xml:space="preserve">Premium 18/10 stainless steel cutlery set with mirror-polish finish. Includes 6 dinner forks, 6 dinner knives, 6 dinner spoons, and 6 teaspoons. Dishwasher safe.</t>
  </si>
  <si>
    <t xml:space="preserve">https://images.unsplash.com/photo-1556228852-80b6e5eeff06?w=800&amp;q=80&amp;auto=format&amp;fit=crop</t>
  </si>
  <si>
    <t xml:space="preserve">Pieces</t>
  </si>
  <si>
    <t xml:space="preserve">24</t>
  </si>
  <si>
    <t xml:space="preserve">Material</t>
  </si>
  <si>
    <t xml:space="preserve">18/10 Stainless Steel</t>
  </si>
  <si>
    <t xml:space="preserve">Dishwasher</t>
  </si>
  <si>
    <t xml:space="preserve">Safe</t>
  </si>
  <si>
    <t xml:space="preserve">AL RAFIQ SHOPPING CENTRE — Product Upload Template</t>
  </si>
  <si>
    <t xml:space="preserve">Fill in the Products sheet, then your developer imports it into the admin back office.</t>
  </si>
  <si>
    <t xml:space="preserve">HOW TO USE</t>
  </si>
  <si>
    <t xml:space="preserve">1.</t>
  </si>
  <si>
    <t xml:space="preserve">Open the 'Products' sheet.</t>
  </si>
  <si>
    <t xml:space="preserve">2.</t>
  </si>
  <si>
    <t xml:space="preserve">Each row = one product. Don't change column headers.</t>
  </si>
  <si>
    <t xml:space="preserve">3.</t>
  </si>
  <si>
    <t xml:space="preserve">Blue cells = you fill these in.  Black cells = auto-calculated (don't edit).</t>
  </si>
  <si>
    <t xml:space="preserve">4.</t>
  </si>
  <si>
    <t xml:space="preserve">Use the dropdowns for Category and Tag columns (TRUE/FALSE).</t>
  </si>
  <si>
    <t xml:space="preserve">5.</t>
  </si>
  <si>
    <t xml:space="preserve">Image URLs must be public links (e.g. uploaded to your hosting, Cloudinary, or imgbb).</t>
  </si>
  <si>
    <t xml:space="preserve">6.</t>
  </si>
  <si>
    <t xml:space="preserve">Save the file. Send it to the developer to import — or open the admin panel and copy values into the New Product form.</t>
  </si>
  <si>
    <t xml:space="preserve">COLUMN GUIDE</t>
  </si>
  <si>
    <t xml:space="preserve">Unique short code. Start at p25 (existing demo data ends at p24). Will be auto-suggested.</t>
  </si>
  <si>
    <t xml:space="preserve">Product name as customer sees it.</t>
  </si>
  <si>
    <t xml:space="preserve">Auto-generated from Title — URL-friendly. Don't edit.</t>
  </si>
  <si>
    <t xml:space="preserve">Brand name (e.g. National, Philips, Anex, Al Rafiq, Imported).</t>
  </si>
  <si>
    <t xml:space="preserve">Pick from dropdown (10 options).</t>
  </si>
  <si>
    <t xml:space="preserve">Selling price in Pakistani Rupees.</t>
  </si>
  <si>
    <t xml:space="preserve">Original/strike-through price. Leave 0 if no discount.</t>
  </si>
  <si>
    <t xml:space="preserve">Auto-calculated from Price and MRP.</t>
  </si>
  <si>
    <t xml:space="preserve">How many units currently in stock.</t>
  </si>
  <si>
    <t xml:space="preserve">Lifetime units sold (for social proof).</t>
  </si>
  <si>
    <t xml:space="preserve">0.0 to 5.0 (one decimal).</t>
  </si>
  <si>
    <t xml:space="preserve">Number of customer reviews.</t>
  </si>
  <si>
    <t xml:space="preserve">Comma-separated, e.g. 'White, Black, Red'. Leave blank if no variants.</t>
  </si>
  <si>
    <t xml:space="preserve">1-2 sentences shown on product card.</t>
  </si>
  <si>
    <t xml:space="preserve">Detailed paragraph for product detail page.</t>
  </si>
  <si>
    <t xml:space="preserve">Image 1/2/3 URL</t>
  </si>
  <si>
    <t xml:space="preserve">Public image URLs. Image 1 is the main cover image.</t>
  </si>
  <si>
    <t xml:space="preserve">Spec 1-4 Name/Value</t>
  </si>
  <si>
    <t xml:space="preserve">Technical specs shown as table on product page. e.g. Power | 700W, Warranty | 1 Year.</t>
  </si>
  <si>
    <t xml:space="preserve">Tag columns (6)</t>
  </si>
  <si>
    <t xml:space="preserve">Set TRUE to apply that classification. A product can have multiple tags.</t>
  </si>
  <si>
    <t xml:space="preserve">TAG CLASSIFICATIONS</t>
  </si>
  <si>
    <t xml:space="preserve">new-arrival</t>
  </si>
  <si>
    <t xml:space="preserve">Newly added products — shows in 'New Arrivals' section on homepage.</t>
  </si>
  <si>
    <t xml:space="preserve">best-seller</t>
  </si>
  <si>
    <t xml:space="preserve">Most popular items — shows 'BEST SELLER' badge on card + 'Best Sellers' section.</t>
  </si>
  <si>
    <t xml:space="preserve">featured</t>
  </si>
  <si>
    <t xml:space="preserve">Editorial picks — shows in 'Featured Products' section on homepage.</t>
  </si>
  <si>
    <t xml:space="preserve">trending</t>
  </si>
  <si>
    <t xml:space="preserve">Hot right now — shows in 'Trending Products' section.</t>
  </si>
  <si>
    <t xml:space="preserve">flash-sale</t>
  </si>
  <si>
    <t xml:space="preserve">Discounted items — shows in 'Flash Sale' section with countdown timer.</t>
  </si>
  <si>
    <t xml:space="preserve">gift-pick</t>
  </si>
  <si>
    <t xml:space="preserve">Gift-suitable — flagged for gift category recommendations.</t>
  </si>
  <si>
    <t xml:space="preserve">REFERENCE SHEETS</t>
  </si>
  <si>
    <t xml:space="preserve">Categories</t>
  </si>
  <si>
    <t xml:space="preserve">All 10 valid category slugs (referenced in Products sheet dropdown).</t>
  </si>
  <si>
    <t xml:space="preserve">Tag Reference</t>
  </si>
  <si>
    <t xml:space="preserve">Visual explanation of each tag and where it shows on the website.</t>
  </si>
  <si>
    <t xml:space="preserve">Sample Data</t>
  </si>
  <si>
    <t xml:space="preserve">Two complete example products you can copy as a template.</t>
  </si>
  <si>
    <t xml:space="preserve">Category Name</t>
  </si>
  <si>
    <t xml:space="preserve">Slug (use this in Products)</t>
  </si>
  <si>
    <t xml:space="preserve">Items</t>
  </si>
  <si>
    <t xml:space="preserve">Kitchen Appliances</t>
  </si>
  <si>
    <t xml:space="preserve">Crockery</t>
  </si>
  <si>
    <t xml:space="preserve">Electronics</t>
  </si>
  <si>
    <t xml:space="preserve">electronics</t>
  </si>
  <si>
    <t xml:space="preserve">Home Essentials</t>
  </si>
  <si>
    <t xml:space="preserve">home-essentials</t>
  </si>
  <si>
    <t xml:space="preserve">Beauty Products</t>
  </si>
  <si>
    <t xml:space="preserve">beauty-products</t>
  </si>
  <si>
    <t xml:space="preserve">Daily Use Items</t>
  </si>
  <si>
    <t xml:space="preserve">daily-use-items</t>
  </si>
  <si>
    <t xml:space="preserve">Mini Appliances</t>
  </si>
  <si>
    <t xml:space="preserve">mini-appliances</t>
  </si>
  <si>
    <t xml:space="preserve">Storage &amp; Organizers</t>
  </si>
  <si>
    <t xml:space="preserve">storage-organizers</t>
  </si>
  <si>
    <t xml:space="preserve">Gift Items</t>
  </si>
  <si>
    <t xml:space="preserve">gift-items</t>
  </si>
  <si>
    <t xml:space="preserve">Imported Products</t>
  </si>
  <si>
    <t xml:space="preserve">imported-products</t>
  </si>
  <si>
    <t xml:space="preserve">Tag</t>
  </si>
  <si>
    <t xml:space="preserve">Where It Shows</t>
  </si>
  <si>
    <t xml:space="preserve">When To Use</t>
  </si>
  <si>
    <t xml:space="preserve">Homepage &gt; New Arrivals row + 'NEW' badge</t>
  </si>
  <si>
    <t xml:space="preserve">Product added in the last 30 days.</t>
  </si>
  <si>
    <t xml:space="preserve">Homepage &gt; Best Sellers row + 'BEST SELLER' badge</t>
  </si>
  <si>
    <t xml:space="preserve">Products that consistently sell well.</t>
  </si>
  <si>
    <t xml:space="preserve">Homepage &gt; Featured Products row</t>
  </si>
  <si>
    <t xml:space="preserve">Editorial pick — your top recommendations.</t>
  </si>
  <si>
    <t xml:space="preserve">Homepage &gt; Trending Products row</t>
  </si>
  <si>
    <t xml:space="preserve">Hot right now — spike in views/orders.</t>
  </si>
  <si>
    <t xml:space="preserve">Homepage &gt; Flash Sale section (countdown)</t>
  </si>
  <si>
    <t xml:space="preserve">Time-limited deep discount.</t>
  </si>
  <si>
    <t xml:space="preserve">Gift Items category surface + badge</t>
  </si>
  <si>
    <t xml:space="preserve">Suitable for gifting, presentable packaging.</t>
  </si>
  <si>
    <t xml:space="preserve">These two sample rows exist in the Products sheet as templates.</t>
  </si>
  <si>
    <t xml:space="preserve">Copy them, modify, then paste into Products. The Slug, Discount %, Tags Summary, and Status columns are auto-calculated — don't fill those.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</si>
</sst>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20"/>
      <color rgb="FF3D99A4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b val="true"/>
      <sz val="10"/>
      <color rgb="FF3D99A4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FB3BF"/>
        <bgColor rgb="FF3D99A4"/>
      </patternFill>
    </fill>
    <fill>
      <patternFill patternType="solid">
        <fgColor rgb="FFF8FAFC"/>
        <bgColor rgb="FFFFFFFF"/>
      </patternFill>
    </fill>
    <fill>
      <patternFill patternType="solid">
        <fgColor rgb="FFECF8FA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CF8FA"/>
        </patternFill>
      </fill>
    </dxf>
    <dxf>
      <fill>
        <patternFill>
          <bgColor rgb="FFD2EEF2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2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8FA"/>
      <rgbColor rgb="FFE2E8F0"/>
      <rgbColor rgb="FFF8FAFC"/>
      <rgbColor rgb="FF99CCFF"/>
      <rgbColor rgb="FFFF99CC"/>
      <rgbColor rgb="FFCC99FF"/>
      <rgbColor rgb="FFFEE2E2"/>
      <rgbColor rgb="FF3366FF"/>
      <rgbColor rgb="FF4FB3BF"/>
      <rgbColor rgb="FF99CC00"/>
      <rgbColor rgb="FFFFCC00"/>
      <rgbColor rgb="FFFF9900"/>
      <rgbColor rgb="FFFF6600"/>
      <rgbColor rgb="FF64748B"/>
      <rgbColor rgb="FF969696"/>
      <rgbColor rgb="FF003366"/>
      <rgbColor rgb="FF3D99A4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0"/>
    <col collapsed="false" customWidth="true" hidden="false" outlineLevel="0" max="14" min="14" style="0" width="42"/>
    <col collapsed="false" customWidth="true" hidden="false" outlineLevel="0" max="15" min="15" style="0" width="60"/>
    <col collapsed="false" customWidth="true" hidden="false" outlineLevel="0" max="18" min="16" style="0" width="50"/>
    <col collapsed="false" customWidth="true" hidden="false" outlineLevel="0" max="19" min="19" style="0" width="16"/>
    <col collapsed="false" customWidth="true" hidden="false" outlineLevel="0" max="20" min="20" style="0" width="18"/>
    <col collapsed="false" customWidth="true" hidden="false" outlineLevel="0" max="21" min="21" style="0" width="16"/>
    <col collapsed="false" customWidth="true" hidden="false" outlineLevel="0" max="22" min="22" style="0" width="18"/>
    <col collapsed="false" customWidth="true" hidden="false" outlineLevel="0" max="23" min="23" style="0" width="16"/>
    <col collapsed="false" customWidth="true" hidden="false" outlineLevel="0" max="24" min="24" style="0" width="18"/>
    <col collapsed="false" customWidth="true" hidden="false" outlineLevel="0" max="25" min="25" style="0" width="16"/>
    <col collapsed="false" customWidth="true" hidden="false" outlineLevel="0" max="26" min="26" style="0" width="18"/>
    <col collapsed="false" customWidth="true" hidden="false" outlineLevel="0" max="28" min="27" style="0" width="16"/>
    <col collapsed="false" customWidth="true" hidden="false" outlineLevel="0" max="30" min="29" style="0" width="14"/>
    <col collapsed="false" customWidth="true" hidden="false" outlineLevel="0" max="31" min="31" style="0" width="16"/>
    <col collapsed="false" customWidth="true" hidden="false" outlineLevel="0" max="32" min="32" style="0" width="14"/>
    <col collapsed="false" customWidth="true" hidden="false" outlineLevel="0" max="33" min="33" style="0" width="32"/>
    <col collapsed="false" customWidth="true" hidden="false" outlineLevel="0" max="34" min="34" style="0" width="12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79.5" hidden="false" customHeight="true" outlineLevel="0" collapsed="false">
      <c r="A2" s="2" t="s">
        <v>34</v>
      </c>
      <c r="B2" s="2" t="s">
        <v>35</v>
      </c>
      <c r="C2" s="3" t="str">
        <f aca="false">IF(B2="","",LOWER(SUBSTITUTE(SUBSTITUTE(SUBSTITUTE(TRIM(B2)," ","-"),",",""),".","")))</f>
        <v>premium-espresso-coffee-maker-4-cup</v>
      </c>
      <c r="D2" s="2" t="s">
        <v>36</v>
      </c>
      <c r="E2" s="2" t="s">
        <v>37</v>
      </c>
      <c r="F2" s="4" t="n">
        <v>5499</v>
      </c>
      <c r="G2" s="4" t="n">
        <v>7999</v>
      </c>
      <c r="H2" s="5" t="n">
        <f aca="false">IF(OR(G2="",G2=0,G2&lt;=F2),"",(G2-F2)/G2)</f>
        <v>0.312539067383423</v>
      </c>
      <c r="I2" s="2" t="n">
        <v>24</v>
      </c>
      <c r="J2" s="2" t="n">
        <v>0</v>
      </c>
      <c r="K2" s="6" t="n">
        <v>4.5</v>
      </c>
      <c r="L2" s="2" t="n">
        <v>0</v>
      </c>
      <c r="M2" s="2" t="s">
        <v>38</v>
      </c>
      <c r="N2" s="7" t="s">
        <v>39</v>
      </c>
      <c r="O2" s="7" t="s">
        <v>40</v>
      </c>
      <c r="P2" s="2" t="s">
        <v>41</v>
      </c>
      <c r="Q2" s="2"/>
      <c r="R2" s="2"/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8" t="s">
        <v>50</v>
      </c>
      <c r="AB2" s="8" t="s">
        <v>51</v>
      </c>
      <c r="AC2" s="8" t="s">
        <v>50</v>
      </c>
      <c r="AD2" s="8" t="s">
        <v>51</v>
      </c>
      <c r="AE2" s="8" t="s">
        <v>51</v>
      </c>
      <c r="AF2" s="8" t="s">
        <v>51</v>
      </c>
      <c r="AG2" s="3" t="str">
        <f aca="false">TRIM(SUBSTITUTE(IF(AA2="TRUE","new-arrival ","")&amp;IF(AB2="TRUE","best-seller ","")&amp;IF(AC2="TRUE","featured ","")&amp;IF(AD2="TRUE","trending ","")&amp;IF(AE2="TRUE","flash-sale ","")&amp;IF(AF2="TRUE","gift-pick ",""),"  "," "))</f>
        <v>new-arrival featured</v>
      </c>
      <c r="AH2" s="9" t="str">
        <f aca="false">IF(B2="","",IF(I2=0,"Sold Out",IF(F2=0,"Draft","Active")))</f>
        <v>Active</v>
      </c>
    </row>
    <row r="3" customFormat="false" ht="79.5" hidden="false" customHeight="true" outlineLevel="0" collapsed="false">
      <c r="A3" s="10" t="s">
        <v>52</v>
      </c>
      <c r="B3" s="10" t="s">
        <v>53</v>
      </c>
      <c r="C3" s="11" t="str">
        <f aca="false">IF(B3="","",LOWER(SUBSTITUTE(SUBSTITUTE(SUBSTITUTE(TRIM(B3)," ","-"),",",""),".","")))</f>
        <v>stainless-steel-cutlery-set-24-piece</v>
      </c>
      <c r="D3" s="10" t="s">
        <v>54</v>
      </c>
      <c r="E3" s="10" t="s">
        <v>55</v>
      </c>
      <c r="F3" s="12" t="n">
        <v>2999</v>
      </c>
      <c r="G3" s="12" t="n">
        <v>4499</v>
      </c>
      <c r="H3" s="13" t="n">
        <f aca="false">IF(OR(G3="",G3=0,G3&lt;=F3),"",(G3-F3)/G3)</f>
        <v>0.333407423871972</v>
      </c>
      <c r="I3" s="10" t="n">
        <v>60</v>
      </c>
      <c r="J3" s="10" t="n">
        <v>0</v>
      </c>
      <c r="K3" s="14" t="n">
        <v>4.7</v>
      </c>
      <c r="L3" s="10" t="n">
        <v>0</v>
      </c>
      <c r="M3" s="10"/>
      <c r="N3" s="15" t="s">
        <v>56</v>
      </c>
      <c r="O3" s="15" t="s">
        <v>57</v>
      </c>
      <c r="P3" s="10" t="s">
        <v>58</v>
      </c>
      <c r="Q3" s="10"/>
      <c r="R3" s="10"/>
      <c r="S3" s="10" t="s">
        <v>59</v>
      </c>
      <c r="T3" s="10" t="s">
        <v>60</v>
      </c>
      <c r="U3" s="10" t="s">
        <v>61</v>
      </c>
      <c r="V3" s="10" t="s">
        <v>62</v>
      </c>
      <c r="W3" s="10" t="s">
        <v>63</v>
      </c>
      <c r="X3" s="10" t="s">
        <v>64</v>
      </c>
      <c r="Y3" s="10"/>
      <c r="Z3" s="10"/>
      <c r="AA3" s="16" t="s">
        <v>50</v>
      </c>
      <c r="AB3" s="16" t="s">
        <v>51</v>
      </c>
      <c r="AC3" s="16" t="s">
        <v>51</v>
      </c>
      <c r="AD3" s="16" t="s">
        <v>50</v>
      </c>
      <c r="AE3" s="16" t="s">
        <v>50</v>
      </c>
      <c r="AF3" s="16" t="s">
        <v>50</v>
      </c>
      <c r="AG3" s="11" t="str">
        <f aca="false">TRIM(SUBSTITUTE(IF(AA3="TRUE","new-arrival ","")&amp;IF(AB3="TRUE","best-seller ","")&amp;IF(AC3="TRUE","featured ","")&amp;IF(AD3="TRUE","trending ","")&amp;IF(AE3="TRUE","flash-sale ","")&amp;IF(AF3="TRUE","gift-pick ",""),"  "," "))</f>
        <v>new-arrival trending flash-sale gift-pick</v>
      </c>
      <c r="AH3" s="17" t="str">
        <f aca="false">IF(B3="","",IF(I3=0,"Sold Out",IF(F3=0,"Draft","Active")))</f>
        <v>Active</v>
      </c>
    </row>
    <row r="4" customFormat="false" ht="15" hidden="false" customHeight="false" outlineLevel="0" collapsed="false">
      <c r="A4" s="2"/>
      <c r="B4" s="2"/>
      <c r="C4" s="3" t="str">
        <f aca="false">IF(B4="","",LOWER(SUBSTITUTE(SUBSTITUTE(SUBSTITUTE(TRIM(B4)," ","-"),",",""),".","")))</f>
        <v/>
      </c>
      <c r="D4" s="2"/>
      <c r="E4" s="2"/>
      <c r="F4" s="4"/>
      <c r="G4" s="4"/>
      <c r="H4" s="5" t="str">
        <f aca="false">IF(OR(G4="",G4=0,G4&lt;=F4),"",(G4-F4)/G4)</f>
        <v/>
      </c>
      <c r="I4" s="2"/>
      <c r="J4" s="2"/>
      <c r="K4" s="6"/>
      <c r="L4" s="2"/>
      <c r="M4" s="2"/>
      <c r="N4" s="7"/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8"/>
      <c r="AB4" s="8"/>
      <c r="AC4" s="8"/>
      <c r="AD4" s="8"/>
      <c r="AE4" s="8"/>
      <c r="AF4" s="8"/>
      <c r="AG4" s="3" t="str">
        <f aca="false">TRIM(SUBSTITUTE(IF(AA4="TRUE","new-arrival ","")&amp;IF(AB4="TRUE","best-seller ","")&amp;IF(AC4="TRUE","featured ","")&amp;IF(AD4="TRUE","trending ","")&amp;IF(AE4="TRUE","flash-sale ","")&amp;IF(AF4="TRUE","gift-pick ",""),"  "," "))</f>
        <v/>
      </c>
      <c r="AH4" s="9" t="str">
        <f aca="false">IF(B4="","",IF(I4=0,"Sold Out",IF(F4=0,"Draft","Active")))</f>
        <v/>
      </c>
    </row>
    <row r="5" customFormat="false" ht="15" hidden="false" customHeight="false" outlineLevel="0" collapsed="false">
      <c r="A5" s="10"/>
      <c r="B5" s="10"/>
      <c r="C5" s="11" t="str">
        <f aca="false">IF(B5="","",LOWER(SUBSTITUTE(SUBSTITUTE(SUBSTITUTE(TRIM(B5)," ","-"),",",""),".","")))</f>
        <v/>
      </c>
      <c r="D5" s="10"/>
      <c r="E5" s="10"/>
      <c r="F5" s="12"/>
      <c r="G5" s="12"/>
      <c r="H5" s="13" t="str">
        <f aca="false">IF(OR(G5="",G5=0,G5&lt;=F5),"",(G5-F5)/G5)</f>
        <v/>
      </c>
      <c r="I5" s="10"/>
      <c r="J5" s="10"/>
      <c r="K5" s="14"/>
      <c r="L5" s="10"/>
      <c r="M5" s="10"/>
      <c r="N5" s="15"/>
      <c r="O5" s="15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6"/>
      <c r="AB5" s="16"/>
      <c r="AC5" s="16"/>
      <c r="AD5" s="16"/>
      <c r="AE5" s="16"/>
      <c r="AF5" s="16"/>
      <c r="AG5" s="11" t="str">
        <f aca="false">TRIM(SUBSTITUTE(IF(AA5="TRUE","new-arrival ","")&amp;IF(AB5="TRUE","best-seller ","")&amp;IF(AC5="TRUE","featured ","")&amp;IF(AD5="TRUE","trending ","")&amp;IF(AE5="TRUE","flash-sale ","")&amp;IF(AF5="TRUE","gift-pick ",""),"  "," "))</f>
        <v/>
      </c>
      <c r="AH5" s="17" t="str">
        <f aca="false">IF(B5="","",IF(I5=0,"Sold Out",IF(F5=0,"Draft","Active")))</f>
        <v/>
      </c>
    </row>
    <row r="6" customFormat="false" ht="15" hidden="false" customHeight="false" outlineLevel="0" collapsed="false">
      <c r="A6" s="2"/>
      <c r="B6" s="2"/>
      <c r="C6" s="3" t="str">
        <f aca="false">IF(B6="","",LOWER(SUBSTITUTE(SUBSTITUTE(SUBSTITUTE(TRIM(B6)," ","-"),",",""),".","")))</f>
        <v/>
      </c>
      <c r="D6" s="2"/>
      <c r="E6" s="2"/>
      <c r="F6" s="4"/>
      <c r="G6" s="4"/>
      <c r="H6" s="5" t="str">
        <f aca="false">IF(OR(G6="",G6=0,G6&lt;=F6),"",(G6-F6)/G6)</f>
        <v/>
      </c>
      <c r="I6" s="2"/>
      <c r="J6" s="2"/>
      <c r="K6" s="6"/>
      <c r="L6" s="2"/>
      <c r="M6" s="2"/>
      <c r="N6" s="7"/>
      <c r="O6" s="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8"/>
      <c r="AB6" s="8"/>
      <c r="AC6" s="8"/>
      <c r="AD6" s="8"/>
      <c r="AE6" s="8"/>
      <c r="AF6" s="8"/>
      <c r="AG6" s="3" t="str">
        <f aca="false">TRIM(SUBSTITUTE(IF(AA6="TRUE","new-arrival ","")&amp;IF(AB6="TRUE","best-seller ","")&amp;IF(AC6="TRUE","featured ","")&amp;IF(AD6="TRUE","trending ","")&amp;IF(AE6="TRUE","flash-sale ","")&amp;IF(AF6="TRUE","gift-pick ",""),"  "," "))</f>
        <v/>
      </c>
      <c r="AH6" s="9" t="str">
        <f aca="false">IF(B6="","",IF(I6=0,"Sold Out",IF(F6=0,"Draft","Active")))</f>
        <v/>
      </c>
    </row>
    <row r="7" customFormat="false" ht="15" hidden="false" customHeight="false" outlineLevel="0" collapsed="false">
      <c r="A7" s="10"/>
      <c r="B7" s="10"/>
      <c r="C7" s="11" t="str">
        <f aca="false">IF(B7="","",LOWER(SUBSTITUTE(SUBSTITUTE(SUBSTITUTE(TRIM(B7)," ","-"),",",""),".","")))</f>
        <v/>
      </c>
      <c r="D7" s="10"/>
      <c r="E7" s="10"/>
      <c r="F7" s="12"/>
      <c r="G7" s="12"/>
      <c r="H7" s="13" t="str">
        <f aca="false">IF(OR(G7="",G7=0,G7&lt;=F7),"",(G7-F7)/G7)</f>
        <v/>
      </c>
      <c r="I7" s="10"/>
      <c r="J7" s="10"/>
      <c r="K7" s="14"/>
      <c r="L7" s="10"/>
      <c r="M7" s="10"/>
      <c r="N7" s="15"/>
      <c r="O7" s="15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6"/>
      <c r="AB7" s="16"/>
      <c r="AC7" s="16"/>
      <c r="AD7" s="16"/>
      <c r="AE7" s="16"/>
      <c r="AF7" s="16"/>
      <c r="AG7" s="11" t="str">
        <f aca="false">TRIM(SUBSTITUTE(IF(AA7="TRUE","new-arrival ","")&amp;IF(AB7="TRUE","best-seller ","")&amp;IF(AC7="TRUE","featured ","")&amp;IF(AD7="TRUE","trending ","")&amp;IF(AE7="TRUE","flash-sale ","")&amp;IF(AF7="TRUE","gift-pick ",""),"  "," "))</f>
        <v/>
      </c>
      <c r="AH7" s="17" t="str">
        <f aca="false">IF(B7="","",IF(I7=0,"Sold Out",IF(F7=0,"Draft","Active")))</f>
        <v/>
      </c>
    </row>
    <row r="8" customFormat="false" ht="15" hidden="false" customHeight="false" outlineLevel="0" collapsed="false">
      <c r="A8" s="2"/>
      <c r="B8" s="2"/>
      <c r="C8" s="3" t="str">
        <f aca="false">IF(B8="","",LOWER(SUBSTITUTE(SUBSTITUTE(SUBSTITUTE(TRIM(B8)," ","-"),",",""),".","")))</f>
        <v/>
      </c>
      <c r="D8" s="2"/>
      <c r="E8" s="2"/>
      <c r="F8" s="4"/>
      <c r="G8" s="4"/>
      <c r="H8" s="5" t="str">
        <f aca="false">IF(OR(G8="",G8=0,G8&lt;=F8),"",(G8-F8)/G8)</f>
        <v/>
      </c>
      <c r="I8" s="2"/>
      <c r="J8" s="2"/>
      <c r="K8" s="6"/>
      <c r="L8" s="2"/>
      <c r="M8" s="2"/>
      <c r="N8" s="7"/>
      <c r="O8" s="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8"/>
      <c r="AB8" s="8"/>
      <c r="AC8" s="8"/>
      <c r="AD8" s="8"/>
      <c r="AE8" s="8"/>
      <c r="AF8" s="8"/>
      <c r="AG8" s="3" t="str">
        <f aca="false">TRIM(SUBSTITUTE(IF(AA8="TRUE","new-arrival ","")&amp;IF(AB8="TRUE","best-seller ","")&amp;IF(AC8="TRUE","featured ","")&amp;IF(AD8="TRUE","trending ","")&amp;IF(AE8="TRUE","flash-sale ","")&amp;IF(AF8="TRUE","gift-pick ",""),"  "," "))</f>
        <v/>
      </c>
      <c r="AH8" s="9" t="str">
        <f aca="false">IF(B8="","",IF(I8=0,"Sold Out",IF(F8=0,"Draft","Active")))</f>
        <v/>
      </c>
    </row>
    <row r="9" customFormat="false" ht="15" hidden="false" customHeight="false" outlineLevel="0" collapsed="false">
      <c r="A9" s="10"/>
      <c r="B9" s="10"/>
      <c r="C9" s="11" t="str">
        <f aca="false">IF(B9="","",LOWER(SUBSTITUTE(SUBSTITUTE(SUBSTITUTE(TRIM(B9)," ","-"),",",""),".","")))</f>
        <v/>
      </c>
      <c r="D9" s="10"/>
      <c r="E9" s="10"/>
      <c r="F9" s="12"/>
      <c r="G9" s="12"/>
      <c r="H9" s="13" t="str">
        <f aca="false">IF(OR(G9="",G9=0,G9&lt;=F9),"",(G9-F9)/G9)</f>
        <v/>
      </c>
      <c r="I9" s="10"/>
      <c r="J9" s="10"/>
      <c r="K9" s="14"/>
      <c r="L9" s="10"/>
      <c r="M9" s="10"/>
      <c r="N9" s="15"/>
      <c r="O9" s="15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6"/>
      <c r="AB9" s="16"/>
      <c r="AC9" s="16"/>
      <c r="AD9" s="16"/>
      <c r="AE9" s="16"/>
      <c r="AF9" s="16"/>
      <c r="AG9" s="11" t="str">
        <f aca="false">TRIM(SUBSTITUTE(IF(AA9="TRUE","new-arrival ","")&amp;IF(AB9="TRUE","best-seller ","")&amp;IF(AC9="TRUE","featured ","")&amp;IF(AD9="TRUE","trending ","")&amp;IF(AE9="TRUE","flash-sale ","")&amp;IF(AF9="TRUE","gift-pick ",""),"  "," "))</f>
        <v/>
      </c>
      <c r="AH9" s="17" t="str">
        <f aca="false">IF(B9="","",IF(I9=0,"Sold Out",IF(F9=0,"Draft","Active")))</f>
        <v/>
      </c>
    </row>
    <row r="10" customFormat="false" ht="15" hidden="false" customHeight="false" outlineLevel="0" collapsed="false">
      <c r="A10" s="2"/>
      <c r="B10" s="2"/>
      <c r="C10" s="3" t="str">
        <f aca="false">IF(B10="","",LOWER(SUBSTITUTE(SUBSTITUTE(SUBSTITUTE(TRIM(B10)," ","-"),",",""),".","")))</f>
        <v/>
      </c>
      <c r="D10" s="2"/>
      <c r="E10" s="2"/>
      <c r="F10" s="4"/>
      <c r="G10" s="4"/>
      <c r="H10" s="5" t="str">
        <f aca="false">IF(OR(G10="",G10=0,G10&lt;=F10),"",(G10-F10)/G10)</f>
        <v/>
      </c>
      <c r="I10" s="2"/>
      <c r="J10" s="2"/>
      <c r="K10" s="6"/>
      <c r="L10" s="2"/>
      <c r="M10" s="2"/>
      <c r="N10" s="7"/>
      <c r="O10" s="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8"/>
      <c r="AB10" s="8"/>
      <c r="AC10" s="8"/>
      <c r="AD10" s="8"/>
      <c r="AE10" s="8"/>
      <c r="AF10" s="8"/>
      <c r="AG10" s="3" t="str">
        <f aca="false">TRIM(SUBSTITUTE(IF(AA10="TRUE","new-arrival ","")&amp;IF(AB10="TRUE","best-seller ","")&amp;IF(AC10="TRUE","featured ","")&amp;IF(AD10="TRUE","trending ","")&amp;IF(AE10="TRUE","flash-sale ","")&amp;IF(AF10="TRUE","gift-pick ",""),"  "," "))</f>
        <v/>
      </c>
      <c r="AH10" s="9" t="str">
        <f aca="false">IF(B10="","",IF(I10=0,"Sold Out",IF(F10=0,"Draft","Active")))</f>
        <v/>
      </c>
    </row>
    <row r="11" customFormat="false" ht="15" hidden="false" customHeight="false" outlineLevel="0" collapsed="false">
      <c r="A11" s="10"/>
      <c r="B11" s="10"/>
      <c r="C11" s="11" t="str">
        <f aca="false">IF(B11="","",LOWER(SUBSTITUTE(SUBSTITUTE(SUBSTITUTE(TRIM(B11)," ","-"),",",""),".","")))</f>
        <v/>
      </c>
      <c r="D11" s="10"/>
      <c r="E11" s="10"/>
      <c r="F11" s="12"/>
      <c r="G11" s="12"/>
      <c r="H11" s="13" t="str">
        <f aca="false">IF(OR(G11="",G11=0,G11&lt;=F11),"",(G11-F11)/G11)</f>
        <v/>
      </c>
      <c r="I11" s="10"/>
      <c r="J11" s="10"/>
      <c r="K11" s="14"/>
      <c r="L11" s="10"/>
      <c r="M11" s="10"/>
      <c r="N11" s="15"/>
      <c r="O11" s="15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6"/>
      <c r="AB11" s="16"/>
      <c r="AC11" s="16"/>
      <c r="AD11" s="16"/>
      <c r="AE11" s="16"/>
      <c r="AF11" s="16"/>
      <c r="AG11" s="11" t="str">
        <f aca="false">TRIM(SUBSTITUTE(IF(AA11="TRUE","new-arrival ","")&amp;IF(AB11="TRUE","best-seller ","")&amp;IF(AC11="TRUE","featured ","")&amp;IF(AD11="TRUE","trending ","")&amp;IF(AE11="TRUE","flash-sale ","")&amp;IF(AF11="TRUE","gift-pick ",""),"  "," "))</f>
        <v/>
      </c>
      <c r="AH11" s="17" t="str">
        <f aca="false">IF(B11="","",IF(I11=0,"Sold Out",IF(F11=0,"Draft","Active")))</f>
        <v/>
      </c>
    </row>
    <row r="12" customFormat="false" ht="15" hidden="false" customHeight="false" outlineLevel="0" collapsed="false">
      <c r="A12" s="2"/>
      <c r="B12" s="2"/>
      <c r="C12" s="3" t="str">
        <f aca="false">IF(B12="","",LOWER(SUBSTITUTE(SUBSTITUTE(SUBSTITUTE(TRIM(B12)," ","-"),",",""),".","")))</f>
        <v/>
      </c>
      <c r="D12" s="2"/>
      <c r="E12" s="2"/>
      <c r="F12" s="4"/>
      <c r="G12" s="4"/>
      <c r="H12" s="5" t="str">
        <f aca="false">IF(OR(G12="",G12=0,G12&lt;=F12),"",(G12-F12)/G12)</f>
        <v/>
      </c>
      <c r="I12" s="2"/>
      <c r="J12" s="2"/>
      <c r="K12" s="6"/>
      <c r="L12" s="2"/>
      <c r="M12" s="2"/>
      <c r="N12" s="7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8"/>
      <c r="AB12" s="8"/>
      <c r="AC12" s="8"/>
      <c r="AD12" s="8"/>
      <c r="AE12" s="8"/>
      <c r="AF12" s="8"/>
      <c r="AG12" s="3" t="str">
        <f aca="false">TRIM(SUBSTITUTE(IF(AA12="TRUE","new-arrival ","")&amp;IF(AB12="TRUE","best-seller ","")&amp;IF(AC12="TRUE","featured ","")&amp;IF(AD12="TRUE","trending ","")&amp;IF(AE12="TRUE","flash-sale ","")&amp;IF(AF12="TRUE","gift-pick ",""),"  "," "))</f>
        <v/>
      </c>
      <c r="AH12" s="9" t="str">
        <f aca="false">IF(B12="","",IF(I12=0,"Sold Out",IF(F12=0,"Draft","Active")))</f>
        <v/>
      </c>
    </row>
    <row r="13" customFormat="false" ht="15" hidden="false" customHeight="false" outlineLevel="0" collapsed="false">
      <c r="A13" s="10"/>
      <c r="B13" s="10"/>
      <c r="C13" s="11" t="str">
        <f aca="false">IF(B13="","",LOWER(SUBSTITUTE(SUBSTITUTE(SUBSTITUTE(TRIM(B13)," ","-"),",",""),".","")))</f>
        <v/>
      </c>
      <c r="D13" s="10"/>
      <c r="E13" s="10"/>
      <c r="F13" s="12"/>
      <c r="G13" s="12"/>
      <c r="H13" s="13" t="str">
        <f aca="false">IF(OR(G13="",G13=0,G13&lt;=F13),"",(G13-F13)/G13)</f>
        <v/>
      </c>
      <c r="I13" s="10"/>
      <c r="J13" s="10"/>
      <c r="K13" s="14"/>
      <c r="L13" s="10"/>
      <c r="M13" s="10"/>
      <c r="N13" s="15"/>
      <c r="O13" s="15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6"/>
      <c r="AB13" s="16"/>
      <c r="AC13" s="16"/>
      <c r="AD13" s="16"/>
      <c r="AE13" s="16"/>
      <c r="AF13" s="16"/>
      <c r="AG13" s="11" t="str">
        <f aca="false">TRIM(SUBSTITUTE(IF(AA13="TRUE","new-arrival ","")&amp;IF(AB13="TRUE","best-seller ","")&amp;IF(AC13="TRUE","featured ","")&amp;IF(AD13="TRUE","trending ","")&amp;IF(AE13="TRUE","flash-sale ","")&amp;IF(AF13="TRUE","gift-pick ",""),"  "," "))</f>
        <v/>
      </c>
      <c r="AH13" s="17" t="str">
        <f aca="false">IF(B13="","",IF(I13=0,"Sold Out",IF(F13=0,"Draft","Active")))</f>
        <v/>
      </c>
    </row>
    <row r="14" customFormat="false" ht="15" hidden="false" customHeight="false" outlineLevel="0" collapsed="false">
      <c r="A14" s="2"/>
      <c r="B14" s="2"/>
      <c r="C14" s="3" t="str">
        <f aca="false">IF(B14="","",LOWER(SUBSTITUTE(SUBSTITUTE(SUBSTITUTE(TRIM(B14)," ","-"),",",""),".","")))</f>
        <v/>
      </c>
      <c r="D14" s="2"/>
      <c r="E14" s="2"/>
      <c r="F14" s="4"/>
      <c r="G14" s="4"/>
      <c r="H14" s="5" t="str">
        <f aca="false">IF(OR(G14="",G14=0,G14&lt;=F14),"",(G14-F14)/G14)</f>
        <v/>
      </c>
      <c r="I14" s="2"/>
      <c r="J14" s="2"/>
      <c r="K14" s="6"/>
      <c r="L14" s="2"/>
      <c r="M14" s="2"/>
      <c r="N14" s="7"/>
      <c r="O14" s="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8"/>
      <c r="AB14" s="8"/>
      <c r="AC14" s="8"/>
      <c r="AD14" s="8"/>
      <c r="AE14" s="8"/>
      <c r="AF14" s="8"/>
      <c r="AG14" s="3" t="str">
        <f aca="false">TRIM(SUBSTITUTE(IF(AA14="TRUE","new-arrival ","")&amp;IF(AB14="TRUE","best-seller ","")&amp;IF(AC14="TRUE","featured ","")&amp;IF(AD14="TRUE","trending ","")&amp;IF(AE14="TRUE","flash-sale ","")&amp;IF(AF14="TRUE","gift-pick ",""),"  "," "))</f>
        <v/>
      </c>
      <c r="AH14" s="9" t="str">
        <f aca="false">IF(B14="","",IF(I14=0,"Sold Out",IF(F14=0,"Draft","Active")))</f>
        <v/>
      </c>
    </row>
    <row r="15" customFormat="false" ht="15" hidden="false" customHeight="false" outlineLevel="0" collapsed="false">
      <c r="A15" s="10"/>
      <c r="B15" s="10"/>
      <c r="C15" s="11" t="str">
        <f aca="false">IF(B15="","",LOWER(SUBSTITUTE(SUBSTITUTE(SUBSTITUTE(TRIM(B15)," ","-"),",",""),".","")))</f>
        <v/>
      </c>
      <c r="D15" s="10"/>
      <c r="E15" s="10"/>
      <c r="F15" s="12"/>
      <c r="G15" s="12"/>
      <c r="H15" s="13" t="str">
        <f aca="false">IF(OR(G15="",G15=0,G15&lt;=F15),"",(G15-F15)/G15)</f>
        <v/>
      </c>
      <c r="I15" s="10"/>
      <c r="J15" s="10"/>
      <c r="K15" s="14"/>
      <c r="L15" s="10"/>
      <c r="M15" s="10"/>
      <c r="N15" s="15"/>
      <c r="O15" s="15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6"/>
      <c r="AB15" s="16"/>
      <c r="AC15" s="16"/>
      <c r="AD15" s="16"/>
      <c r="AE15" s="16"/>
      <c r="AF15" s="16"/>
      <c r="AG15" s="11" t="str">
        <f aca="false">TRIM(SUBSTITUTE(IF(AA15="TRUE","new-arrival ","")&amp;IF(AB15="TRUE","best-seller ","")&amp;IF(AC15="TRUE","featured ","")&amp;IF(AD15="TRUE","trending ","")&amp;IF(AE15="TRUE","flash-sale ","")&amp;IF(AF15="TRUE","gift-pick ",""),"  "," "))</f>
        <v/>
      </c>
      <c r="AH15" s="17" t="str">
        <f aca="false">IF(B15="","",IF(I15=0,"Sold Out",IF(F15=0,"Draft","Active")))</f>
        <v/>
      </c>
    </row>
    <row r="16" customFormat="false" ht="15" hidden="false" customHeight="false" outlineLevel="0" collapsed="false">
      <c r="A16" s="2"/>
      <c r="B16" s="2"/>
      <c r="C16" s="3" t="str">
        <f aca="false">IF(B16="","",LOWER(SUBSTITUTE(SUBSTITUTE(SUBSTITUTE(TRIM(B16)," ","-"),",",""),".","")))</f>
        <v/>
      </c>
      <c r="D16" s="2"/>
      <c r="E16" s="2"/>
      <c r="F16" s="4"/>
      <c r="G16" s="4"/>
      <c r="H16" s="5" t="str">
        <f aca="false">IF(OR(G16="",G16=0,G16&lt;=F16),"",(G16-F16)/G16)</f>
        <v/>
      </c>
      <c r="I16" s="2"/>
      <c r="J16" s="2"/>
      <c r="K16" s="6"/>
      <c r="L16" s="2"/>
      <c r="M16" s="2"/>
      <c r="N16" s="7"/>
      <c r="O16" s="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"/>
      <c r="AB16" s="8"/>
      <c r="AC16" s="8"/>
      <c r="AD16" s="8"/>
      <c r="AE16" s="8"/>
      <c r="AF16" s="8"/>
      <c r="AG16" s="3" t="str">
        <f aca="false">TRIM(SUBSTITUTE(IF(AA16="TRUE","new-arrival ","")&amp;IF(AB16="TRUE","best-seller ","")&amp;IF(AC16="TRUE","featured ","")&amp;IF(AD16="TRUE","trending ","")&amp;IF(AE16="TRUE","flash-sale ","")&amp;IF(AF16="TRUE","gift-pick ",""),"  "," "))</f>
        <v/>
      </c>
      <c r="AH16" s="9" t="str">
        <f aca="false">IF(B16="","",IF(I16=0,"Sold Out",IF(F16=0,"Draft","Active")))</f>
        <v/>
      </c>
    </row>
    <row r="17" customFormat="false" ht="15" hidden="false" customHeight="false" outlineLevel="0" collapsed="false">
      <c r="A17" s="10"/>
      <c r="B17" s="10"/>
      <c r="C17" s="11" t="str">
        <f aca="false">IF(B17="","",LOWER(SUBSTITUTE(SUBSTITUTE(SUBSTITUTE(TRIM(B17)," ","-"),",",""),".","")))</f>
        <v/>
      </c>
      <c r="D17" s="10"/>
      <c r="E17" s="10"/>
      <c r="F17" s="12"/>
      <c r="G17" s="12"/>
      <c r="H17" s="13" t="str">
        <f aca="false">IF(OR(G17="",G17=0,G17&lt;=F17),"",(G17-F17)/G17)</f>
        <v/>
      </c>
      <c r="I17" s="10"/>
      <c r="J17" s="10"/>
      <c r="K17" s="14"/>
      <c r="L17" s="10"/>
      <c r="M17" s="10"/>
      <c r="N17" s="15"/>
      <c r="O17" s="15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6"/>
      <c r="AB17" s="16"/>
      <c r="AC17" s="16"/>
      <c r="AD17" s="16"/>
      <c r="AE17" s="16"/>
      <c r="AF17" s="16"/>
      <c r="AG17" s="11" t="str">
        <f aca="false">TRIM(SUBSTITUTE(IF(AA17="TRUE","new-arrival ","")&amp;IF(AB17="TRUE","best-seller ","")&amp;IF(AC17="TRUE","featured ","")&amp;IF(AD17="TRUE","trending ","")&amp;IF(AE17="TRUE","flash-sale ","")&amp;IF(AF17="TRUE","gift-pick ",""),"  "," "))</f>
        <v/>
      </c>
      <c r="AH17" s="17" t="str">
        <f aca="false">IF(B17="","",IF(I17=0,"Sold Out",IF(F17=0,"Draft","Active")))</f>
        <v/>
      </c>
    </row>
    <row r="18" customFormat="false" ht="15" hidden="false" customHeight="false" outlineLevel="0" collapsed="false">
      <c r="A18" s="2"/>
      <c r="B18" s="2"/>
      <c r="C18" s="3" t="str">
        <f aca="false">IF(B18="","",LOWER(SUBSTITUTE(SUBSTITUTE(SUBSTITUTE(TRIM(B18)," ","-"),",",""),".","")))</f>
        <v/>
      </c>
      <c r="D18" s="2"/>
      <c r="E18" s="2"/>
      <c r="F18" s="4"/>
      <c r="G18" s="4"/>
      <c r="H18" s="5" t="str">
        <f aca="false">IF(OR(G18="",G18=0,G18&lt;=F18),"",(G18-F18)/G18)</f>
        <v/>
      </c>
      <c r="I18" s="2"/>
      <c r="J18" s="2"/>
      <c r="K18" s="6"/>
      <c r="L18" s="2"/>
      <c r="M18" s="2"/>
      <c r="N18" s="7"/>
      <c r="O18" s="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8"/>
      <c r="AB18" s="8"/>
      <c r="AC18" s="8"/>
      <c r="AD18" s="8"/>
      <c r="AE18" s="8"/>
      <c r="AF18" s="8"/>
      <c r="AG18" s="3" t="str">
        <f aca="false">TRIM(SUBSTITUTE(IF(AA18="TRUE","new-arrival ","")&amp;IF(AB18="TRUE","best-seller ","")&amp;IF(AC18="TRUE","featured ","")&amp;IF(AD18="TRUE","trending ","")&amp;IF(AE18="TRUE","flash-sale ","")&amp;IF(AF18="TRUE","gift-pick ",""),"  "," "))</f>
        <v/>
      </c>
      <c r="AH18" s="9" t="str">
        <f aca="false">IF(B18="","",IF(I18=0,"Sold Out",IF(F18=0,"Draft","Active")))</f>
        <v/>
      </c>
    </row>
    <row r="19" customFormat="false" ht="15" hidden="false" customHeight="false" outlineLevel="0" collapsed="false">
      <c r="A19" s="10"/>
      <c r="B19" s="10"/>
      <c r="C19" s="11" t="str">
        <f aca="false">IF(B19="","",LOWER(SUBSTITUTE(SUBSTITUTE(SUBSTITUTE(TRIM(B19)," ","-"),",",""),".","")))</f>
        <v/>
      </c>
      <c r="D19" s="10"/>
      <c r="E19" s="10"/>
      <c r="F19" s="12"/>
      <c r="G19" s="12"/>
      <c r="H19" s="13" t="str">
        <f aca="false">IF(OR(G19="",G19=0,G19&lt;=F19),"",(G19-F19)/G19)</f>
        <v/>
      </c>
      <c r="I19" s="10"/>
      <c r="J19" s="10"/>
      <c r="K19" s="14"/>
      <c r="L19" s="10"/>
      <c r="M19" s="10"/>
      <c r="N19" s="15"/>
      <c r="O19" s="15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6"/>
      <c r="AB19" s="16"/>
      <c r="AC19" s="16"/>
      <c r="AD19" s="16"/>
      <c r="AE19" s="16"/>
      <c r="AF19" s="16"/>
      <c r="AG19" s="11" t="str">
        <f aca="false">TRIM(SUBSTITUTE(IF(AA19="TRUE","new-arrival ","")&amp;IF(AB19="TRUE","best-seller ","")&amp;IF(AC19="TRUE","featured ","")&amp;IF(AD19="TRUE","trending ","")&amp;IF(AE19="TRUE","flash-sale ","")&amp;IF(AF19="TRUE","gift-pick ",""),"  "," "))</f>
        <v/>
      </c>
      <c r="AH19" s="17" t="str">
        <f aca="false">IF(B19="","",IF(I19=0,"Sold Out",IF(F19=0,"Draft","Active")))</f>
        <v/>
      </c>
    </row>
    <row r="20" customFormat="false" ht="15" hidden="false" customHeight="false" outlineLevel="0" collapsed="false">
      <c r="A20" s="2"/>
      <c r="B20" s="2"/>
      <c r="C20" s="3" t="str">
        <f aca="false">IF(B20="","",LOWER(SUBSTITUTE(SUBSTITUTE(SUBSTITUTE(TRIM(B20)," ","-"),",",""),".","")))</f>
        <v/>
      </c>
      <c r="D20" s="2"/>
      <c r="E20" s="2"/>
      <c r="F20" s="4"/>
      <c r="G20" s="4"/>
      <c r="H20" s="5" t="str">
        <f aca="false">IF(OR(G20="",G20=0,G20&lt;=F20),"",(G20-F20)/G20)</f>
        <v/>
      </c>
      <c r="I20" s="2"/>
      <c r="J20" s="2"/>
      <c r="K20" s="6"/>
      <c r="L20" s="2"/>
      <c r="M20" s="2"/>
      <c r="N20" s="7"/>
      <c r="O20" s="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8"/>
      <c r="AB20" s="8"/>
      <c r="AC20" s="8"/>
      <c r="AD20" s="8"/>
      <c r="AE20" s="8"/>
      <c r="AF20" s="8"/>
      <c r="AG20" s="3" t="str">
        <f aca="false">TRIM(SUBSTITUTE(IF(AA20="TRUE","new-arrival ","")&amp;IF(AB20="TRUE","best-seller ","")&amp;IF(AC20="TRUE","featured ","")&amp;IF(AD20="TRUE","trending ","")&amp;IF(AE20="TRUE","flash-sale ","")&amp;IF(AF20="TRUE","gift-pick ",""),"  "," "))</f>
        <v/>
      </c>
      <c r="AH20" s="9" t="str">
        <f aca="false">IF(B20="","",IF(I20=0,"Sold Out",IF(F20=0,"Draft","Active")))</f>
        <v/>
      </c>
    </row>
    <row r="21" customFormat="false" ht="15" hidden="false" customHeight="false" outlineLevel="0" collapsed="false">
      <c r="A21" s="10"/>
      <c r="B21" s="10"/>
      <c r="C21" s="11" t="str">
        <f aca="false">IF(B21="","",LOWER(SUBSTITUTE(SUBSTITUTE(SUBSTITUTE(TRIM(B21)," ","-"),",",""),".","")))</f>
        <v/>
      </c>
      <c r="D21" s="10"/>
      <c r="E21" s="10"/>
      <c r="F21" s="12"/>
      <c r="G21" s="12"/>
      <c r="H21" s="13" t="str">
        <f aca="false">IF(OR(G21="",G21=0,G21&lt;=F21),"",(G21-F21)/G21)</f>
        <v/>
      </c>
      <c r="I21" s="10"/>
      <c r="J21" s="10"/>
      <c r="K21" s="14"/>
      <c r="L21" s="10"/>
      <c r="M21" s="10"/>
      <c r="N21" s="15"/>
      <c r="O21" s="15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6"/>
      <c r="AB21" s="16"/>
      <c r="AC21" s="16"/>
      <c r="AD21" s="16"/>
      <c r="AE21" s="16"/>
      <c r="AF21" s="16"/>
      <c r="AG21" s="11" t="str">
        <f aca="false">TRIM(SUBSTITUTE(IF(AA21="TRUE","new-arrival ","")&amp;IF(AB21="TRUE","best-seller ","")&amp;IF(AC21="TRUE","featured ","")&amp;IF(AD21="TRUE","trending ","")&amp;IF(AE21="TRUE","flash-sale ","")&amp;IF(AF21="TRUE","gift-pick ",""),"  "," "))</f>
        <v/>
      </c>
      <c r="AH21" s="17" t="str">
        <f aca="false">IF(B21="","",IF(I21=0,"Sold Out",IF(F21=0,"Draft","Active")))</f>
        <v/>
      </c>
    </row>
    <row r="22" customFormat="false" ht="15" hidden="false" customHeight="false" outlineLevel="0" collapsed="false">
      <c r="A22" s="2"/>
      <c r="B22" s="2"/>
      <c r="C22" s="3" t="str">
        <f aca="false">IF(B22="","",LOWER(SUBSTITUTE(SUBSTITUTE(SUBSTITUTE(TRIM(B22)," ","-"),",",""),".","")))</f>
        <v/>
      </c>
      <c r="D22" s="2"/>
      <c r="E22" s="2"/>
      <c r="F22" s="4"/>
      <c r="G22" s="4"/>
      <c r="H22" s="5" t="str">
        <f aca="false">IF(OR(G22="",G22=0,G22&lt;=F22),"",(G22-F22)/G22)</f>
        <v/>
      </c>
      <c r="I22" s="2"/>
      <c r="J22" s="2"/>
      <c r="K22" s="6"/>
      <c r="L22" s="2"/>
      <c r="M22" s="2"/>
      <c r="N22" s="7"/>
      <c r="O22" s="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8"/>
      <c r="AB22" s="8"/>
      <c r="AC22" s="8"/>
      <c r="AD22" s="8"/>
      <c r="AE22" s="8"/>
      <c r="AF22" s="8"/>
      <c r="AG22" s="3" t="str">
        <f aca="false">TRIM(SUBSTITUTE(IF(AA22="TRUE","new-arrival ","")&amp;IF(AB22="TRUE","best-seller ","")&amp;IF(AC22="TRUE","featured ","")&amp;IF(AD22="TRUE","trending ","")&amp;IF(AE22="TRUE","flash-sale ","")&amp;IF(AF22="TRUE","gift-pick ",""),"  "," "))</f>
        <v/>
      </c>
      <c r="AH22" s="9" t="str">
        <f aca="false">IF(B22="","",IF(I22=0,"Sold Out",IF(F22=0,"Draft","Active")))</f>
        <v/>
      </c>
    </row>
    <row r="23" customFormat="false" ht="15" hidden="false" customHeight="false" outlineLevel="0" collapsed="false">
      <c r="A23" s="10"/>
      <c r="B23" s="10"/>
      <c r="C23" s="11" t="str">
        <f aca="false">IF(B23="","",LOWER(SUBSTITUTE(SUBSTITUTE(SUBSTITUTE(TRIM(B23)," ","-"),",",""),".","")))</f>
        <v/>
      </c>
      <c r="D23" s="10"/>
      <c r="E23" s="10"/>
      <c r="F23" s="12"/>
      <c r="G23" s="12"/>
      <c r="H23" s="13" t="str">
        <f aca="false">IF(OR(G23="",G23=0,G23&lt;=F23),"",(G23-F23)/G23)</f>
        <v/>
      </c>
      <c r="I23" s="10"/>
      <c r="J23" s="10"/>
      <c r="K23" s="14"/>
      <c r="L23" s="10"/>
      <c r="M23" s="10"/>
      <c r="N23" s="15"/>
      <c r="O23" s="15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6"/>
      <c r="AB23" s="16"/>
      <c r="AC23" s="16"/>
      <c r="AD23" s="16"/>
      <c r="AE23" s="16"/>
      <c r="AF23" s="16"/>
      <c r="AG23" s="11" t="str">
        <f aca="false">TRIM(SUBSTITUTE(IF(AA23="TRUE","new-arrival ","")&amp;IF(AB23="TRUE","best-seller ","")&amp;IF(AC23="TRUE","featured ","")&amp;IF(AD23="TRUE","trending ","")&amp;IF(AE23="TRUE","flash-sale ","")&amp;IF(AF23="TRUE","gift-pick ",""),"  "," "))</f>
        <v/>
      </c>
      <c r="AH23" s="17" t="str">
        <f aca="false">IF(B23="","",IF(I23=0,"Sold Out",IF(F23=0,"Draft","Active")))</f>
        <v/>
      </c>
    </row>
    <row r="24" customFormat="false" ht="15" hidden="false" customHeight="false" outlineLevel="0" collapsed="false">
      <c r="A24" s="2"/>
      <c r="B24" s="2"/>
      <c r="C24" s="3" t="str">
        <f aca="false">IF(B24="","",LOWER(SUBSTITUTE(SUBSTITUTE(SUBSTITUTE(TRIM(B24)," ","-"),",",""),".","")))</f>
        <v/>
      </c>
      <c r="D24" s="2"/>
      <c r="E24" s="2"/>
      <c r="F24" s="4"/>
      <c r="G24" s="4"/>
      <c r="H24" s="5" t="str">
        <f aca="false">IF(OR(G24="",G24=0,G24&lt;=F24),"",(G24-F24)/G24)</f>
        <v/>
      </c>
      <c r="I24" s="2"/>
      <c r="J24" s="2"/>
      <c r="K24" s="6"/>
      <c r="L24" s="2"/>
      <c r="M24" s="2"/>
      <c r="N24" s="7"/>
      <c r="O24" s="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8"/>
      <c r="AB24" s="8"/>
      <c r="AC24" s="8"/>
      <c r="AD24" s="8"/>
      <c r="AE24" s="8"/>
      <c r="AF24" s="8"/>
      <c r="AG24" s="3" t="str">
        <f aca="false">TRIM(SUBSTITUTE(IF(AA24="TRUE","new-arrival ","")&amp;IF(AB24="TRUE","best-seller ","")&amp;IF(AC24="TRUE","featured ","")&amp;IF(AD24="TRUE","trending ","")&amp;IF(AE24="TRUE","flash-sale ","")&amp;IF(AF24="TRUE","gift-pick ",""),"  "," "))</f>
        <v/>
      </c>
      <c r="AH24" s="9" t="str">
        <f aca="false">IF(B24="","",IF(I24=0,"Sold Out",IF(F24=0,"Draft","Active")))</f>
        <v/>
      </c>
    </row>
    <row r="25" customFormat="false" ht="15" hidden="false" customHeight="false" outlineLevel="0" collapsed="false">
      <c r="A25" s="10"/>
      <c r="B25" s="10"/>
      <c r="C25" s="11" t="str">
        <f aca="false">IF(B25="","",LOWER(SUBSTITUTE(SUBSTITUTE(SUBSTITUTE(TRIM(B25)," ","-"),",",""),".","")))</f>
        <v/>
      </c>
      <c r="D25" s="10"/>
      <c r="E25" s="10"/>
      <c r="F25" s="12"/>
      <c r="G25" s="12"/>
      <c r="H25" s="13" t="str">
        <f aca="false">IF(OR(G25="",G25=0,G25&lt;=F25),"",(G25-F25)/G25)</f>
        <v/>
      </c>
      <c r="I25" s="10"/>
      <c r="J25" s="10"/>
      <c r="K25" s="14"/>
      <c r="L25" s="10"/>
      <c r="M25" s="10"/>
      <c r="N25" s="15"/>
      <c r="O25" s="1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6"/>
      <c r="AB25" s="16"/>
      <c r="AC25" s="16"/>
      <c r="AD25" s="16"/>
      <c r="AE25" s="16"/>
      <c r="AF25" s="16"/>
      <c r="AG25" s="11" t="str">
        <f aca="false">TRIM(SUBSTITUTE(IF(AA25="TRUE","new-arrival ","")&amp;IF(AB25="TRUE","best-seller ","")&amp;IF(AC25="TRUE","featured ","")&amp;IF(AD25="TRUE","trending ","")&amp;IF(AE25="TRUE","flash-sale ","")&amp;IF(AF25="TRUE","gift-pick ",""),"  "," "))</f>
        <v/>
      </c>
      <c r="AH25" s="17" t="str">
        <f aca="false">IF(B25="","",IF(I25=0,"Sold Out",IF(F25=0,"Draft","Active")))</f>
        <v/>
      </c>
    </row>
    <row r="26" customFormat="false" ht="15" hidden="false" customHeight="false" outlineLevel="0" collapsed="false">
      <c r="A26" s="2"/>
      <c r="B26" s="2"/>
      <c r="C26" s="3" t="str">
        <f aca="false">IF(B26="","",LOWER(SUBSTITUTE(SUBSTITUTE(SUBSTITUTE(TRIM(B26)," ","-"),",",""),".","")))</f>
        <v/>
      </c>
      <c r="D26" s="2"/>
      <c r="E26" s="2"/>
      <c r="F26" s="4"/>
      <c r="G26" s="4"/>
      <c r="H26" s="5" t="str">
        <f aca="false">IF(OR(G26="",G26=0,G26&lt;=F26),"",(G26-F26)/G26)</f>
        <v/>
      </c>
      <c r="I26" s="2"/>
      <c r="J26" s="2"/>
      <c r="K26" s="6"/>
      <c r="L26" s="2"/>
      <c r="M26" s="2"/>
      <c r="N26" s="7"/>
      <c r="O26" s="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8"/>
      <c r="AB26" s="8"/>
      <c r="AC26" s="8"/>
      <c r="AD26" s="8"/>
      <c r="AE26" s="8"/>
      <c r="AF26" s="8"/>
      <c r="AG26" s="3" t="str">
        <f aca="false">TRIM(SUBSTITUTE(IF(AA26="TRUE","new-arrival ","")&amp;IF(AB26="TRUE","best-seller ","")&amp;IF(AC26="TRUE","featured ","")&amp;IF(AD26="TRUE","trending ","")&amp;IF(AE26="TRUE","flash-sale ","")&amp;IF(AF26="TRUE","gift-pick ",""),"  "," "))</f>
        <v/>
      </c>
      <c r="AH26" s="9" t="str">
        <f aca="false">IF(B26="","",IF(I26=0,"Sold Out",IF(F26=0,"Draft","Active")))</f>
        <v/>
      </c>
    </row>
    <row r="27" customFormat="false" ht="15" hidden="false" customHeight="false" outlineLevel="0" collapsed="false">
      <c r="A27" s="10"/>
      <c r="B27" s="10"/>
      <c r="C27" s="11" t="str">
        <f aca="false">IF(B27="","",LOWER(SUBSTITUTE(SUBSTITUTE(SUBSTITUTE(TRIM(B27)," ","-"),",",""),".","")))</f>
        <v/>
      </c>
      <c r="D27" s="10"/>
      <c r="E27" s="10"/>
      <c r="F27" s="12"/>
      <c r="G27" s="12"/>
      <c r="H27" s="13" t="str">
        <f aca="false">IF(OR(G27="",G27=0,G27&lt;=F27),"",(G27-F27)/G27)</f>
        <v/>
      </c>
      <c r="I27" s="10"/>
      <c r="J27" s="10"/>
      <c r="K27" s="14"/>
      <c r="L27" s="10"/>
      <c r="M27" s="10"/>
      <c r="N27" s="15"/>
      <c r="O27" s="15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6"/>
      <c r="AB27" s="16"/>
      <c r="AC27" s="16"/>
      <c r="AD27" s="16"/>
      <c r="AE27" s="16"/>
      <c r="AF27" s="16"/>
      <c r="AG27" s="11" t="str">
        <f aca="false">TRIM(SUBSTITUTE(IF(AA27="TRUE","new-arrival ","")&amp;IF(AB27="TRUE","best-seller ","")&amp;IF(AC27="TRUE","featured ","")&amp;IF(AD27="TRUE","trending ","")&amp;IF(AE27="TRUE","flash-sale ","")&amp;IF(AF27="TRUE","gift-pick ",""),"  "," "))</f>
        <v/>
      </c>
      <c r="AH27" s="17" t="str">
        <f aca="false">IF(B27="","",IF(I27=0,"Sold Out",IF(F27=0,"Draft","Active")))</f>
        <v/>
      </c>
    </row>
    <row r="28" customFormat="false" ht="15" hidden="false" customHeight="false" outlineLevel="0" collapsed="false">
      <c r="A28" s="2"/>
      <c r="B28" s="2"/>
      <c r="C28" s="3" t="str">
        <f aca="false">IF(B28="","",LOWER(SUBSTITUTE(SUBSTITUTE(SUBSTITUTE(TRIM(B28)," ","-"),",",""),".","")))</f>
        <v/>
      </c>
      <c r="D28" s="2"/>
      <c r="E28" s="2"/>
      <c r="F28" s="4"/>
      <c r="G28" s="4"/>
      <c r="H28" s="5" t="str">
        <f aca="false">IF(OR(G28="",G28=0,G28&lt;=F28),"",(G28-F28)/G28)</f>
        <v/>
      </c>
      <c r="I28" s="2"/>
      <c r="J28" s="2"/>
      <c r="K28" s="6"/>
      <c r="L28" s="2"/>
      <c r="M28" s="2"/>
      <c r="N28" s="7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8"/>
      <c r="AB28" s="8"/>
      <c r="AC28" s="8"/>
      <c r="AD28" s="8"/>
      <c r="AE28" s="8"/>
      <c r="AF28" s="8"/>
      <c r="AG28" s="3" t="str">
        <f aca="false">TRIM(SUBSTITUTE(IF(AA28="TRUE","new-arrival ","")&amp;IF(AB28="TRUE","best-seller ","")&amp;IF(AC28="TRUE","featured ","")&amp;IF(AD28="TRUE","trending ","")&amp;IF(AE28="TRUE","flash-sale ","")&amp;IF(AF28="TRUE","gift-pick ",""),"  "," "))</f>
        <v/>
      </c>
      <c r="AH28" s="9" t="str">
        <f aca="false">IF(B28="","",IF(I28=0,"Sold Out",IF(F28=0,"Draft","Active")))</f>
        <v/>
      </c>
    </row>
    <row r="29" customFormat="false" ht="15" hidden="false" customHeight="false" outlineLevel="0" collapsed="false">
      <c r="A29" s="10"/>
      <c r="B29" s="10"/>
      <c r="C29" s="11" t="str">
        <f aca="false">IF(B29="","",LOWER(SUBSTITUTE(SUBSTITUTE(SUBSTITUTE(TRIM(B29)," ","-"),",",""),".","")))</f>
        <v/>
      </c>
      <c r="D29" s="10"/>
      <c r="E29" s="10"/>
      <c r="F29" s="12"/>
      <c r="G29" s="12"/>
      <c r="H29" s="13" t="str">
        <f aca="false">IF(OR(G29="",G29=0,G29&lt;=F29),"",(G29-F29)/G29)</f>
        <v/>
      </c>
      <c r="I29" s="10"/>
      <c r="J29" s="10"/>
      <c r="K29" s="14"/>
      <c r="L29" s="10"/>
      <c r="M29" s="10"/>
      <c r="N29" s="15"/>
      <c r="O29" s="15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6"/>
      <c r="AB29" s="16"/>
      <c r="AC29" s="16"/>
      <c r="AD29" s="16"/>
      <c r="AE29" s="16"/>
      <c r="AF29" s="16"/>
      <c r="AG29" s="11" t="str">
        <f aca="false">TRIM(SUBSTITUTE(IF(AA29="TRUE","new-arrival ","")&amp;IF(AB29="TRUE","best-seller ","")&amp;IF(AC29="TRUE","featured ","")&amp;IF(AD29="TRUE","trending ","")&amp;IF(AE29="TRUE","flash-sale ","")&amp;IF(AF29="TRUE","gift-pick ",""),"  "," "))</f>
        <v/>
      </c>
      <c r="AH29" s="17" t="str">
        <f aca="false">IF(B29="","",IF(I29=0,"Sold Out",IF(F29=0,"Draft","Active")))</f>
        <v/>
      </c>
    </row>
    <row r="30" customFormat="false" ht="15" hidden="false" customHeight="false" outlineLevel="0" collapsed="false">
      <c r="A30" s="2"/>
      <c r="B30" s="2"/>
      <c r="C30" s="3" t="str">
        <f aca="false">IF(B30="","",LOWER(SUBSTITUTE(SUBSTITUTE(SUBSTITUTE(TRIM(B30)," ","-"),",",""),".","")))</f>
        <v/>
      </c>
      <c r="D30" s="2"/>
      <c r="E30" s="2"/>
      <c r="F30" s="4"/>
      <c r="G30" s="4"/>
      <c r="H30" s="5" t="str">
        <f aca="false">IF(OR(G30="",G30=0,G30&lt;=F30),"",(G30-F30)/G30)</f>
        <v/>
      </c>
      <c r="I30" s="2"/>
      <c r="J30" s="2"/>
      <c r="K30" s="6"/>
      <c r="L30" s="2"/>
      <c r="M30" s="2"/>
      <c r="N30" s="7"/>
      <c r="O30" s="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8"/>
      <c r="AB30" s="8"/>
      <c r="AC30" s="8"/>
      <c r="AD30" s="8"/>
      <c r="AE30" s="8"/>
      <c r="AF30" s="8"/>
      <c r="AG30" s="3" t="str">
        <f aca="false">TRIM(SUBSTITUTE(IF(AA30="TRUE","new-arrival ","")&amp;IF(AB30="TRUE","best-seller ","")&amp;IF(AC30="TRUE","featured ","")&amp;IF(AD30="TRUE","trending ","")&amp;IF(AE30="TRUE","flash-sale ","")&amp;IF(AF30="TRUE","gift-pick ",""),"  "," "))</f>
        <v/>
      </c>
      <c r="AH30" s="9" t="str">
        <f aca="false">IF(B30="","",IF(I30=0,"Sold Out",IF(F30=0,"Draft","Active")))</f>
        <v/>
      </c>
    </row>
    <row r="31" customFormat="false" ht="15" hidden="false" customHeight="false" outlineLevel="0" collapsed="false">
      <c r="A31" s="10"/>
      <c r="B31" s="10"/>
      <c r="C31" s="11" t="str">
        <f aca="false">IF(B31="","",LOWER(SUBSTITUTE(SUBSTITUTE(SUBSTITUTE(TRIM(B31)," ","-"),",",""),".","")))</f>
        <v/>
      </c>
      <c r="D31" s="10"/>
      <c r="E31" s="10"/>
      <c r="F31" s="12"/>
      <c r="G31" s="12"/>
      <c r="H31" s="13" t="str">
        <f aca="false">IF(OR(G31="",G31=0,G31&lt;=F31),"",(G31-F31)/G31)</f>
        <v/>
      </c>
      <c r="I31" s="10"/>
      <c r="J31" s="10"/>
      <c r="K31" s="14"/>
      <c r="L31" s="10"/>
      <c r="M31" s="10"/>
      <c r="N31" s="15"/>
      <c r="O31" s="15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6"/>
      <c r="AB31" s="16"/>
      <c r="AC31" s="16"/>
      <c r="AD31" s="16"/>
      <c r="AE31" s="16"/>
      <c r="AF31" s="16"/>
      <c r="AG31" s="11" t="str">
        <f aca="false">TRIM(SUBSTITUTE(IF(AA31="TRUE","new-arrival ","")&amp;IF(AB31="TRUE","best-seller ","")&amp;IF(AC31="TRUE","featured ","")&amp;IF(AD31="TRUE","trending ","")&amp;IF(AE31="TRUE","flash-sale ","")&amp;IF(AF31="TRUE","gift-pick ",""),"  "," "))</f>
        <v/>
      </c>
      <c r="AH31" s="17" t="str">
        <f aca="false">IF(B31="","",IF(I31=0,"Sold Out",IF(F31=0,"Draft","Active")))</f>
        <v/>
      </c>
    </row>
    <row r="32" customFormat="false" ht="15" hidden="false" customHeight="false" outlineLevel="0" collapsed="false">
      <c r="A32" s="2"/>
      <c r="B32" s="2"/>
      <c r="C32" s="3" t="str">
        <f aca="false">IF(B32="","",LOWER(SUBSTITUTE(SUBSTITUTE(SUBSTITUTE(TRIM(B32)," ","-"),",",""),".","")))</f>
        <v/>
      </c>
      <c r="D32" s="2"/>
      <c r="E32" s="2"/>
      <c r="F32" s="4"/>
      <c r="G32" s="4"/>
      <c r="H32" s="5" t="str">
        <f aca="false">IF(OR(G32="",G32=0,G32&lt;=F32),"",(G32-F32)/G32)</f>
        <v/>
      </c>
      <c r="I32" s="2"/>
      <c r="J32" s="2"/>
      <c r="K32" s="6"/>
      <c r="L32" s="2"/>
      <c r="M32" s="2"/>
      <c r="N32" s="7"/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8"/>
      <c r="AB32" s="8"/>
      <c r="AC32" s="8"/>
      <c r="AD32" s="8"/>
      <c r="AE32" s="8"/>
      <c r="AF32" s="8"/>
      <c r="AG32" s="3" t="str">
        <f aca="false">TRIM(SUBSTITUTE(IF(AA32="TRUE","new-arrival ","")&amp;IF(AB32="TRUE","best-seller ","")&amp;IF(AC32="TRUE","featured ","")&amp;IF(AD32="TRUE","trending ","")&amp;IF(AE32="TRUE","flash-sale ","")&amp;IF(AF32="TRUE","gift-pick ",""),"  "," "))</f>
        <v/>
      </c>
      <c r="AH32" s="9" t="str">
        <f aca="false">IF(B32="","",IF(I32=0,"Sold Out",IF(F32=0,"Draft","Active")))</f>
        <v/>
      </c>
    </row>
    <row r="33" customFormat="false" ht="15" hidden="false" customHeight="false" outlineLevel="0" collapsed="false">
      <c r="A33" s="10"/>
      <c r="B33" s="10"/>
      <c r="C33" s="11" t="str">
        <f aca="false">IF(B33="","",LOWER(SUBSTITUTE(SUBSTITUTE(SUBSTITUTE(TRIM(B33)," ","-"),",",""),".","")))</f>
        <v/>
      </c>
      <c r="D33" s="10"/>
      <c r="E33" s="10"/>
      <c r="F33" s="12"/>
      <c r="G33" s="12"/>
      <c r="H33" s="13" t="str">
        <f aca="false">IF(OR(G33="",G33=0,G33&lt;=F33),"",(G33-F33)/G33)</f>
        <v/>
      </c>
      <c r="I33" s="10"/>
      <c r="J33" s="10"/>
      <c r="K33" s="14"/>
      <c r="L33" s="10"/>
      <c r="M33" s="10"/>
      <c r="N33" s="15"/>
      <c r="O33" s="1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6"/>
      <c r="AB33" s="16"/>
      <c r="AC33" s="16"/>
      <c r="AD33" s="16"/>
      <c r="AE33" s="16"/>
      <c r="AF33" s="16"/>
      <c r="AG33" s="11" t="str">
        <f aca="false">TRIM(SUBSTITUTE(IF(AA33="TRUE","new-arrival ","")&amp;IF(AB33="TRUE","best-seller ","")&amp;IF(AC33="TRUE","featured ","")&amp;IF(AD33="TRUE","trending ","")&amp;IF(AE33="TRUE","flash-sale ","")&amp;IF(AF33="TRUE","gift-pick ",""),"  "," "))</f>
        <v/>
      </c>
      <c r="AH33" s="17" t="str">
        <f aca="false">IF(B33="","",IF(I33=0,"Sold Out",IF(F33=0,"Draft","Active")))</f>
        <v/>
      </c>
    </row>
    <row r="34" customFormat="false" ht="15" hidden="false" customHeight="false" outlineLevel="0" collapsed="false">
      <c r="A34" s="2"/>
      <c r="B34" s="2"/>
      <c r="C34" s="3" t="str">
        <f aca="false">IF(B34="","",LOWER(SUBSTITUTE(SUBSTITUTE(SUBSTITUTE(TRIM(B34)," ","-"),",",""),".","")))</f>
        <v/>
      </c>
      <c r="D34" s="2"/>
      <c r="E34" s="2"/>
      <c r="F34" s="4"/>
      <c r="G34" s="4"/>
      <c r="H34" s="5" t="str">
        <f aca="false">IF(OR(G34="",G34=0,G34&lt;=F34),"",(G34-F34)/G34)</f>
        <v/>
      </c>
      <c r="I34" s="2"/>
      <c r="J34" s="2"/>
      <c r="K34" s="6"/>
      <c r="L34" s="2"/>
      <c r="M34" s="2"/>
      <c r="N34" s="7"/>
      <c r="O34" s="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8"/>
      <c r="AB34" s="8"/>
      <c r="AC34" s="8"/>
      <c r="AD34" s="8"/>
      <c r="AE34" s="8"/>
      <c r="AF34" s="8"/>
      <c r="AG34" s="3" t="str">
        <f aca="false">TRIM(SUBSTITUTE(IF(AA34="TRUE","new-arrival ","")&amp;IF(AB34="TRUE","best-seller ","")&amp;IF(AC34="TRUE","featured ","")&amp;IF(AD34="TRUE","trending ","")&amp;IF(AE34="TRUE","flash-sale ","")&amp;IF(AF34="TRUE","gift-pick ",""),"  "," "))</f>
        <v/>
      </c>
      <c r="AH34" s="9" t="str">
        <f aca="false">IF(B34="","",IF(I34=0,"Sold Out",IF(F34=0,"Draft","Active")))</f>
        <v/>
      </c>
    </row>
    <row r="35" customFormat="false" ht="15" hidden="false" customHeight="false" outlineLevel="0" collapsed="false">
      <c r="A35" s="10"/>
      <c r="B35" s="10"/>
      <c r="C35" s="11" t="str">
        <f aca="false">IF(B35="","",LOWER(SUBSTITUTE(SUBSTITUTE(SUBSTITUTE(TRIM(B35)," ","-"),",",""),".","")))</f>
        <v/>
      </c>
      <c r="D35" s="10"/>
      <c r="E35" s="10"/>
      <c r="F35" s="12"/>
      <c r="G35" s="12"/>
      <c r="H35" s="13" t="str">
        <f aca="false">IF(OR(G35="",G35=0,G35&lt;=F35),"",(G35-F35)/G35)</f>
        <v/>
      </c>
      <c r="I35" s="10"/>
      <c r="J35" s="10"/>
      <c r="K35" s="14"/>
      <c r="L35" s="10"/>
      <c r="M35" s="10"/>
      <c r="N35" s="15"/>
      <c r="O35" s="15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6"/>
      <c r="AB35" s="16"/>
      <c r="AC35" s="16"/>
      <c r="AD35" s="16"/>
      <c r="AE35" s="16"/>
      <c r="AF35" s="16"/>
      <c r="AG35" s="11" t="str">
        <f aca="false">TRIM(SUBSTITUTE(IF(AA35="TRUE","new-arrival ","")&amp;IF(AB35="TRUE","best-seller ","")&amp;IF(AC35="TRUE","featured ","")&amp;IF(AD35="TRUE","trending ","")&amp;IF(AE35="TRUE","flash-sale ","")&amp;IF(AF35="TRUE","gift-pick ",""),"  "," "))</f>
        <v/>
      </c>
      <c r="AH35" s="17" t="str">
        <f aca="false">IF(B35="","",IF(I35=0,"Sold Out",IF(F35=0,"Draft","Active")))</f>
        <v/>
      </c>
    </row>
    <row r="36" customFormat="false" ht="15" hidden="false" customHeight="false" outlineLevel="0" collapsed="false">
      <c r="A36" s="2"/>
      <c r="B36" s="2"/>
      <c r="C36" s="3" t="str">
        <f aca="false">IF(B36="","",LOWER(SUBSTITUTE(SUBSTITUTE(SUBSTITUTE(TRIM(B36)," ","-"),",",""),".","")))</f>
        <v/>
      </c>
      <c r="D36" s="2"/>
      <c r="E36" s="2"/>
      <c r="F36" s="4"/>
      <c r="G36" s="4"/>
      <c r="H36" s="5" t="str">
        <f aca="false">IF(OR(G36="",G36=0,G36&lt;=F36),"",(G36-F36)/G36)</f>
        <v/>
      </c>
      <c r="I36" s="2"/>
      <c r="J36" s="2"/>
      <c r="K36" s="6"/>
      <c r="L36" s="2"/>
      <c r="M36" s="2"/>
      <c r="N36" s="7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8"/>
      <c r="AB36" s="8"/>
      <c r="AC36" s="8"/>
      <c r="AD36" s="8"/>
      <c r="AE36" s="8"/>
      <c r="AF36" s="8"/>
      <c r="AG36" s="3" t="str">
        <f aca="false">TRIM(SUBSTITUTE(IF(AA36="TRUE","new-arrival ","")&amp;IF(AB36="TRUE","best-seller ","")&amp;IF(AC36="TRUE","featured ","")&amp;IF(AD36="TRUE","trending ","")&amp;IF(AE36="TRUE","flash-sale ","")&amp;IF(AF36="TRUE","gift-pick ",""),"  "," "))</f>
        <v/>
      </c>
      <c r="AH36" s="9" t="str">
        <f aca="false">IF(B36="","",IF(I36=0,"Sold Out",IF(F36=0,"Draft","Active")))</f>
        <v/>
      </c>
    </row>
    <row r="37" customFormat="false" ht="15" hidden="false" customHeight="false" outlineLevel="0" collapsed="false">
      <c r="A37" s="10"/>
      <c r="B37" s="10"/>
      <c r="C37" s="11" t="str">
        <f aca="false">IF(B37="","",LOWER(SUBSTITUTE(SUBSTITUTE(SUBSTITUTE(TRIM(B37)," ","-"),",",""),".","")))</f>
        <v/>
      </c>
      <c r="D37" s="10"/>
      <c r="E37" s="10"/>
      <c r="F37" s="12"/>
      <c r="G37" s="12"/>
      <c r="H37" s="13" t="str">
        <f aca="false">IF(OR(G37="",G37=0,G37&lt;=F37),"",(G37-F37)/G37)</f>
        <v/>
      </c>
      <c r="I37" s="10"/>
      <c r="J37" s="10"/>
      <c r="K37" s="14"/>
      <c r="L37" s="10"/>
      <c r="M37" s="10"/>
      <c r="N37" s="15"/>
      <c r="O37" s="15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6"/>
      <c r="AB37" s="16"/>
      <c r="AC37" s="16"/>
      <c r="AD37" s="16"/>
      <c r="AE37" s="16"/>
      <c r="AF37" s="16"/>
      <c r="AG37" s="11" t="str">
        <f aca="false">TRIM(SUBSTITUTE(IF(AA37="TRUE","new-arrival ","")&amp;IF(AB37="TRUE","best-seller ","")&amp;IF(AC37="TRUE","featured ","")&amp;IF(AD37="TRUE","trending ","")&amp;IF(AE37="TRUE","flash-sale ","")&amp;IF(AF37="TRUE","gift-pick ",""),"  "," "))</f>
        <v/>
      </c>
      <c r="AH37" s="17" t="str">
        <f aca="false">IF(B37="","",IF(I37=0,"Sold Out",IF(F37=0,"Draft","Active")))</f>
        <v/>
      </c>
    </row>
    <row r="38" customFormat="false" ht="15" hidden="false" customHeight="false" outlineLevel="0" collapsed="false">
      <c r="A38" s="2"/>
      <c r="B38" s="2"/>
      <c r="C38" s="3" t="str">
        <f aca="false">IF(B38="","",LOWER(SUBSTITUTE(SUBSTITUTE(SUBSTITUTE(TRIM(B38)," ","-"),",",""),".","")))</f>
        <v/>
      </c>
      <c r="D38" s="2"/>
      <c r="E38" s="2"/>
      <c r="F38" s="4"/>
      <c r="G38" s="4"/>
      <c r="H38" s="5" t="str">
        <f aca="false">IF(OR(G38="",G38=0,G38&lt;=F38),"",(G38-F38)/G38)</f>
        <v/>
      </c>
      <c r="I38" s="2"/>
      <c r="J38" s="2"/>
      <c r="K38" s="6"/>
      <c r="L38" s="2"/>
      <c r="M38" s="2"/>
      <c r="N38" s="7"/>
      <c r="O38" s="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8"/>
      <c r="AB38" s="8"/>
      <c r="AC38" s="8"/>
      <c r="AD38" s="8"/>
      <c r="AE38" s="8"/>
      <c r="AF38" s="8"/>
      <c r="AG38" s="3" t="str">
        <f aca="false">TRIM(SUBSTITUTE(IF(AA38="TRUE","new-arrival ","")&amp;IF(AB38="TRUE","best-seller ","")&amp;IF(AC38="TRUE","featured ","")&amp;IF(AD38="TRUE","trending ","")&amp;IF(AE38="TRUE","flash-sale ","")&amp;IF(AF38="TRUE","gift-pick ",""),"  "," "))</f>
        <v/>
      </c>
      <c r="AH38" s="9" t="str">
        <f aca="false">IF(B38="","",IF(I38=0,"Sold Out",IF(F38=0,"Draft","Active")))</f>
        <v/>
      </c>
    </row>
    <row r="39" customFormat="false" ht="15" hidden="false" customHeight="false" outlineLevel="0" collapsed="false">
      <c r="A39" s="10"/>
      <c r="B39" s="10"/>
      <c r="C39" s="11" t="str">
        <f aca="false">IF(B39="","",LOWER(SUBSTITUTE(SUBSTITUTE(SUBSTITUTE(TRIM(B39)," ","-"),",",""),".","")))</f>
        <v/>
      </c>
      <c r="D39" s="10"/>
      <c r="E39" s="10"/>
      <c r="F39" s="12"/>
      <c r="G39" s="12"/>
      <c r="H39" s="13" t="str">
        <f aca="false">IF(OR(G39="",G39=0,G39&lt;=F39),"",(G39-F39)/G39)</f>
        <v/>
      </c>
      <c r="I39" s="10"/>
      <c r="J39" s="10"/>
      <c r="K39" s="14"/>
      <c r="L39" s="10"/>
      <c r="M39" s="10"/>
      <c r="N39" s="15"/>
      <c r="O39" s="15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6"/>
      <c r="AB39" s="16"/>
      <c r="AC39" s="16"/>
      <c r="AD39" s="16"/>
      <c r="AE39" s="16"/>
      <c r="AF39" s="16"/>
      <c r="AG39" s="11" t="str">
        <f aca="false">TRIM(SUBSTITUTE(IF(AA39="TRUE","new-arrival ","")&amp;IF(AB39="TRUE","best-seller ","")&amp;IF(AC39="TRUE","featured ","")&amp;IF(AD39="TRUE","trending ","")&amp;IF(AE39="TRUE","flash-sale ","")&amp;IF(AF39="TRUE","gift-pick ",""),"  "," "))</f>
        <v/>
      </c>
      <c r="AH39" s="17" t="str">
        <f aca="false">IF(B39="","",IF(I39=0,"Sold Out",IF(F39=0,"Draft","Active")))</f>
        <v/>
      </c>
    </row>
    <row r="40" customFormat="false" ht="15" hidden="false" customHeight="false" outlineLevel="0" collapsed="false">
      <c r="A40" s="2"/>
      <c r="B40" s="2"/>
      <c r="C40" s="3" t="str">
        <f aca="false">IF(B40="","",LOWER(SUBSTITUTE(SUBSTITUTE(SUBSTITUTE(TRIM(B40)," ","-"),",",""),".","")))</f>
        <v/>
      </c>
      <c r="D40" s="2"/>
      <c r="E40" s="2"/>
      <c r="F40" s="4"/>
      <c r="G40" s="4"/>
      <c r="H40" s="5" t="str">
        <f aca="false">IF(OR(G40="",G40=0,G40&lt;=F40),"",(G40-F40)/G40)</f>
        <v/>
      </c>
      <c r="I40" s="2"/>
      <c r="J40" s="2"/>
      <c r="K40" s="6"/>
      <c r="L40" s="2"/>
      <c r="M40" s="2"/>
      <c r="N40" s="7"/>
      <c r="O40" s="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8"/>
      <c r="AB40" s="8"/>
      <c r="AC40" s="8"/>
      <c r="AD40" s="8"/>
      <c r="AE40" s="8"/>
      <c r="AF40" s="8"/>
      <c r="AG40" s="3" t="str">
        <f aca="false">TRIM(SUBSTITUTE(IF(AA40="TRUE","new-arrival ","")&amp;IF(AB40="TRUE","best-seller ","")&amp;IF(AC40="TRUE","featured ","")&amp;IF(AD40="TRUE","trending ","")&amp;IF(AE40="TRUE","flash-sale ","")&amp;IF(AF40="TRUE","gift-pick ",""),"  "," "))</f>
        <v/>
      </c>
      <c r="AH40" s="9" t="str">
        <f aca="false">IF(B40="","",IF(I40=0,"Sold Out",IF(F40=0,"Draft","Active")))</f>
        <v/>
      </c>
    </row>
    <row r="41" customFormat="false" ht="15" hidden="false" customHeight="false" outlineLevel="0" collapsed="false">
      <c r="A41" s="10"/>
      <c r="B41" s="10"/>
      <c r="C41" s="11" t="str">
        <f aca="false">IF(B41="","",LOWER(SUBSTITUTE(SUBSTITUTE(SUBSTITUTE(TRIM(B41)," ","-"),",",""),".","")))</f>
        <v/>
      </c>
      <c r="D41" s="10"/>
      <c r="E41" s="10"/>
      <c r="F41" s="12"/>
      <c r="G41" s="12"/>
      <c r="H41" s="13" t="str">
        <f aca="false">IF(OR(G41="",G41=0,G41&lt;=F41),"",(G41-F41)/G41)</f>
        <v/>
      </c>
      <c r="I41" s="10"/>
      <c r="J41" s="10"/>
      <c r="K41" s="14"/>
      <c r="L41" s="10"/>
      <c r="M41" s="10"/>
      <c r="N41" s="15"/>
      <c r="O41" s="15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6"/>
      <c r="AB41" s="16"/>
      <c r="AC41" s="16"/>
      <c r="AD41" s="16"/>
      <c r="AE41" s="16"/>
      <c r="AF41" s="16"/>
      <c r="AG41" s="11" t="str">
        <f aca="false">TRIM(SUBSTITUTE(IF(AA41="TRUE","new-arrival ","")&amp;IF(AB41="TRUE","best-seller ","")&amp;IF(AC41="TRUE","featured ","")&amp;IF(AD41="TRUE","trending ","")&amp;IF(AE41="TRUE","flash-sale ","")&amp;IF(AF41="TRUE","gift-pick ",""),"  "," "))</f>
        <v/>
      </c>
      <c r="AH41" s="17" t="str">
        <f aca="false">IF(B41="","",IF(I41=0,"Sold Out",IF(F41=0,"Draft","Active")))</f>
        <v/>
      </c>
    </row>
    <row r="42" customFormat="false" ht="15" hidden="false" customHeight="false" outlineLevel="0" collapsed="false">
      <c r="A42" s="2"/>
      <c r="B42" s="2"/>
      <c r="C42" s="3" t="str">
        <f aca="false">IF(B42="","",LOWER(SUBSTITUTE(SUBSTITUTE(SUBSTITUTE(TRIM(B42)," ","-"),",",""),".","")))</f>
        <v/>
      </c>
      <c r="D42" s="2"/>
      <c r="E42" s="2"/>
      <c r="F42" s="4"/>
      <c r="G42" s="4"/>
      <c r="H42" s="5" t="str">
        <f aca="false">IF(OR(G42="",G42=0,G42&lt;=F42),"",(G42-F42)/G42)</f>
        <v/>
      </c>
      <c r="I42" s="2"/>
      <c r="J42" s="2"/>
      <c r="K42" s="6"/>
      <c r="L42" s="2"/>
      <c r="M42" s="2"/>
      <c r="N42" s="7"/>
      <c r="O42" s="7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8"/>
      <c r="AB42" s="8"/>
      <c r="AC42" s="8"/>
      <c r="AD42" s="8"/>
      <c r="AE42" s="8"/>
      <c r="AF42" s="8"/>
      <c r="AG42" s="3" t="str">
        <f aca="false">TRIM(SUBSTITUTE(IF(AA42="TRUE","new-arrival ","")&amp;IF(AB42="TRUE","best-seller ","")&amp;IF(AC42="TRUE","featured ","")&amp;IF(AD42="TRUE","trending ","")&amp;IF(AE42="TRUE","flash-sale ","")&amp;IF(AF42="TRUE","gift-pick ",""),"  "," "))</f>
        <v/>
      </c>
      <c r="AH42" s="9" t="str">
        <f aca="false">IF(B42="","",IF(I42=0,"Sold Out",IF(F42=0,"Draft","Active")))</f>
        <v/>
      </c>
    </row>
    <row r="43" customFormat="false" ht="15" hidden="false" customHeight="false" outlineLevel="0" collapsed="false">
      <c r="A43" s="10"/>
      <c r="B43" s="10"/>
      <c r="C43" s="11" t="str">
        <f aca="false">IF(B43="","",LOWER(SUBSTITUTE(SUBSTITUTE(SUBSTITUTE(TRIM(B43)," ","-"),",",""),".","")))</f>
        <v/>
      </c>
      <c r="D43" s="10"/>
      <c r="E43" s="10"/>
      <c r="F43" s="12"/>
      <c r="G43" s="12"/>
      <c r="H43" s="13" t="str">
        <f aca="false">IF(OR(G43="",G43=0,G43&lt;=F43),"",(G43-F43)/G43)</f>
        <v/>
      </c>
      <c r="I43" s="10"/>
      <c r="J43" s="10"/>
      <c r="K43" s="14"/>
      <c r="L43" s="10"/>
      <c r="M43" s="10"/>
      <c r="N43" s="15"/>
      <c r="O43" s="15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6"/>
      <c r="AB43" s="16"/>
      <c r="AC43" s="16"/>
      <c r="AD43" s="16"/>
      <c r="AE43" s="16"/>
      <c r="AF43" s="16"/>
      <c r="AG43" s="11" t="str">
        <f aca="false">TRIM(SUBSTITUTE(IF(AA43="TRUE","new-arrival ","")&amp;IF(AB43="TRUE","best-seller ","")&amp;IF(AC43="TRUE","featured ","")&amp;IF(AD43="TRUE","trending ","")&amp;IF(AE43="TRUE","flash-sale ","")&amp;IF(AF43="TRUE","gift-pick ",""),"  "," "))</f>
        <v/>
      </c>
      <c r="AH43" s="17" t="str">
        <f aca="false">IF(B43="","",IF(I43=0,"Sold Out",IF(F43=0,"Draft","Active")))</f>
        <v/>
      </c>
    </row>
    <row r="44" customFormat="false" ht="15" hidden="false" customHeight="false" outlineLevel="0" collapsed="false">
      <c r="A44" s="2"/>
      <c r="B44" s="2"/>
      <c r="C44" s="3" t="str">
        <f aca="false">IF(B44="","",LOWER(SUBSTITUTE(SUBSTITUTE(SUBSTITUTE(TRIM(B44)," ","-"),",",""),".","")))</f>
        <v/>
      </c>
      <c r="D44" s="2"/>
      <c r="E44" s="2"/>
      <c r="F44" s="4"/>
      <c r="G44" s="4"/>
      <c r="H44" s="5" t="str">
        <f aca="false">IF(OR(G44="",G44=0,G44&lt;=F44),"",(G44-F44)/G44)</f>
        <v/>
      </c>
      <c r="I44" s="2"/>
      <c r="J44" s="2"/>
      <c r="K44" s="6"/>
      <c r="L44" s="2"/>
      <c r="M44" s="2"/>
      <c r="N44" s="7"/>
      <c r="O44" s="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8"/>
      <c r="AB44" s="8"/>
      <c r="AC44" s="8"/>
      <c r="AD44" s="8"/>
      <c r="AE44" s="8"/>
      <c r="AF44" s="8"/>
      <c r="AG44" s="3" t="str">
        <f aca="false">TRIM(SUBSTITUTE(IF(AA44="TRUE","new-arrival ","")&amp;IF(AB44="TRUE","best-seller ","")&amp;IF(AC44="TRUE","featured ","")&amp;IF(AD44="TRUE","trending ","")&amp;IF(AE44="TRUE","flash-sale ","")&amp;IF(AF44="TRUE","gift-pick ",""),"  "," "))</f>
        <v/>
      </c>
      <c r="AH44" s="9" t="str">
        <f aca="false">IF(B44="","",IF(I44=0,"Sold Out",IF(F44=0,"Draft","Active")))</f>
        <v/>
      </c>
    </row>
    <row r="45" customFormat="false" ht="15" hidden="false" customHeight="false" outlineLevel="0" collapsed="false">
      <c r="A45" s="10"/>
      <c r="B45" s="10"/>
      <c r="C45" s="11" t="str">
        <f aca="false">IF(B45="","",LOWER(SUBSTITUTE(SUBSTITUTE(SUBSTITUTE(TRIM(B45)," ","-"),",",""),".","")))</f>
        <v/>
      </c>
      <c r="D45" s="10"/>
      <c r="E45" s="10"/>
      <c r="F45" s="12"/>
      <c r="G45" s="12"/>
      <c r="H45" s="13" t="str">
        <f aca="false">IF(OR(G45="",G45=0,G45&lt;=F45),"",(G45-F45)/G45)</f>
        <v/>
      </c>
      <c r="I45" s="10"/>
      <c r="J45" s="10"/>
      <c r="K45" s="14"/>
      <c r="L45" s="10"/>
      <c r="M45" s="10"/>
      <c r="N45" s="15"/>
      <c r="O45" s="15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6"/>
      <c r="AB45" s="16"/>
      <c r="AC45" s="16"/>
      <c r="AD45" s="16"/>
      <c r="AE45" s="16"/>
      <c r="AF45" s="16"/>
      <c r="AG45" s="11" t="str">
        <f aca="false">TRIM(SUBSTITUTE(IF(AA45="TRUE","new-arrival ","")&amp;IF(AB45="TRUE","best-seller ","")&amp;IF(AC45="TRUE","featured ","")&amp;IF(AD45="TRUE","trending ","")&amp;IF(AE45="TRUE","flash-sale ","")&amp;IF(AF45="TRUE","gift-pick ",""),"  "," "))</f>
        <v/>
      </c>
      <c r="AH45" s="17" t="str">
        <f aca="false">IF(B45="","",IF(I45=0,"Sold Out",IF(F45=0,"Draft","Active")))</f>
        <v/>
      </c>
    </row>
    <row r="46" customFormat="false" ht="15" hidden="false" customHeight="false" outlineLevel="0" collapsed="false">
      <c r="A46" s="2"/>
      <c r="B46" s="2"/>
      <c r="C46" s="3" t="str">
        <f aca="false">IF(B46="","",LOWER(SUBSTITUTE(SUBSTITUTE(SUBSTITUTE(TRIM(B46)," ","-"),",",""),".","")))</f>
        <v/>
      </c>
      <c r="D46" s="2"/>
      <c r="E46" s="2"/>
      <c r="F46" s="4"/>
      <c r="G46" s="4"/>
      <c r="H46" s="5" t="str">
        <f aca="false">IF(OR(G46="",G46=0,G46&lt;=F46),"",(G46-F46)/G46)</f>
        <v/>
      </c>
      <c r="I46" s="2"/>
      <c r="J46" s="2"/>
      <c r="K46" s="6"/>
      <c r="L46" s="2"/>
      <c r="M46" s="2"/>
      <c r="N46" s="7"/>
      <c r="O46" s="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8"/>
      <c r="AB46" s="8"/>
      <c r="AC46" s="8"/>
      <c r="AD46" s="8"/>
      <c r="AE46" s="8"/>
      <c r="AF46" s="8"/>
      <c r="AG46" s="3" t="str">
        <f aca="false">TRIM(SUBSTITUTE(IF(AA46="TRUE","new-arrival ","")&amp;IF(AB46="TRUE","best-seller ","")&amp;IF(AC46="TRUE","featured ","")&amp;IF(AD46="TRUE","trending ","")&amp;IF(AE46="TRUE","flash-sale ","")&amp;IF(AF46="TRUE","gift-pick ",""),"  "," "))</f>
        <v/>
      </c>
      <c r="AH46" s="9" t="str">
        <f aca="false">IF(B46="","",IF(I46=0,"Sold Out",IF(F46=0,"Draft","Active")))</f>
        <v/>
      </c>
    </row>
    <row r="47" customFormat="false" ht="15" hidden="false" customHeight="false" outlineLevel="0" collapsed="false">
      <c r="A47" s="10"/>
      <c r="B47" s="10"/>
      <c r="C47" s="11" t="str">
        <f aca="false">IF(B47="","",LOWER(SUBSTITUTE(SUBSTITUTE(SUBSTITUTE(TRIM(B47)," ","-"),",",""),".","")))</f>
        <v/>
      </c>
      <c r="D47" s="10"/>
      <c r="E47" s="10"/>
      <c r="F47" s="12"/>
      <c r="G47" s="12"/>
      <c r="H47" s="13" t="str">
        <f aca="false">IF(OR(G47="",G47=0,G47&lt;=F47),"",(G47-F47)/G47)</f>
        <v/>
      </c>
      <c r="I47" s="10"/>
      <c r="J47" s="10"/>
      <c r="K47" s="14"/>
      <c r="L47" s="10"/>
      <c r="M47" s="10"/>
      <c r="N47" s="15"/>
      <c r="O47" s="15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"/>
      <c r="AB47" s="16"/>
      <c r="AC47" s="16"/>
      <c r="AD47" s="16"/>
      <c r="AE47" s="16"/>
      <c r="AF47" s="16"/>
      <c r="AG47" s="11" t="str">
        <f aca="false">TRIM(SUBSTITUTE(IF(AA47="TRUE","new-arrival ","")&amp;IF(AB47="TRUE","best-seller ","")&amp;IF(AC47="TRUE","featured ","")&amp;IF(AD47="TRUE","trending ","")&amp;IF(AE47="TRUE","flash-sale ","")&amp;IF(AF47="TRUE","gift-pick ",""),"  "," "))</f>
        <v/>
      </c>
      <c r="AH47" s="17" t="str">
        <f aca="false">IF(B47="","",IF(I47=0,"Sold Out",IF(F47=0,"Draft","Active")))</f>
        <v/>
      </c>
    </row>
    <row r="48" customFormat="false" ht="15" hidden="false" customHeight="false" outlineLevel="0" collapsed="false">
      <c r="A48" s="2"/>
      <c r="B48" s="2"/>
      <c r="C48" s="3" t="str">
        <f aca="false">IF(B48="","",LOWER(SUBSTITUTE(SUBSTITUTE(SUBSTITUTE(TRIM(B48)," ","-"),",",""),".","")))</f>
        <v/>
      </c>
      <c r="D48" s="2"/>
      <c r="E48" s="2"/>
      <c r="F48" s="4"/>
      <c r="G48" s="4"/>
      <c r="H48" s="5" t="str">
        <f aca="false">IF(OR(G48="",G48=0,G48&lt;=F48),"",(G48-F48)/G48)</f>
        <v/>
      </c>
      <c r="I48" s="2"/>
      <c r="J48" s="2"/>
      <c r="K48" s="6"/>
      <c r="L48" s="2"/>
      <c r="M48" s="2"/>
      <c r="N48" s="7"/>
      <c r="O48" s="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8"/>
      <c r="AB48" s="8"/>
      <c r="AC48" s="8"/>
      <c r="AD48" s="8"/>
      <c r="AE48" s="8"/>
      <c r="AF48" s="8"/>
      <c r="AG48" s="3" t="str">
        <f aca="false">TRIM(SUBSTITUTE(IF(AA48="TRUE","new-arrival ","")&amp;IF(AB48="TRUE","best-seller ","")&amp;IF(AC48="TRUE","featured ","")&amp;IF(AD48="TRUE","trending ","")&amp;IF(AE48="TRUE","flash-sale ","")&amp;IF(AF48="TRUE","gift-pick ",""),"  "," "))</f>
        <v/>
      </c>
      <c r="AH48" s="9" t="str">
        <f aca="false">IF(B48="","",IF(I48=0,"Sold Out",IF(F48=0,"Draft","Active")))</f>
        <v/>
      </c>
    </row>
    <row r="49" customFormat="false" ht="15" hidden="false" customHeight="false" outlineLevel="0" collapsed="false">
      <c r="A49" s="10"/>
      <c r="B49" s="10"/>
      <c r="C49" s="11" t="str">
        <f aca="false">IF(B49="","",LOWER(SUBSTITUTE(SUBSTITUTE(SUBSTITUTE(TRIM(B49)," ","-"),",",""),".","")))</f>
        <v/>
      </c>
      <c r="D49" s="10"/>
      <c r="E49" s="10"/>
      <c r="F49" s="12"/>
      <c r="G49" s="12"/>
      <c r="H49" s="13" t="str">
        <f aca="false">IF(OR(G49="",G49=0,G49&lt;=F49),"",(G49-F49)/G49)</f>
        <v/>
      </c>
      <c r="I49" s="10"/>
      <c r="J49" s="10"/>
      <c r="K49" s="14"/>
      <c r="L49" s="10"/>
      <c r="M49" s="10"/>
      <c r="N49" s="15"/>
      <c r="O49" s="15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"/>
      <c r="AB49" s="16"/>
      <c r="AC49" s="16"/>
      <c r="AD49" s="16"/>
      <c r="AE49" s="16"/>
      <c r="AF49" s="16"/>
      <c r="AG49" s="11" t="str">
        <f aca="false">TRIM(SUBSTITUTE(IF(AA49="TRUE","new-arrival ","")&amp;IF(AB49="TRUE","best-seller ","")&amp;IF(AC49="TRUE","featured ","")&amp;IF(AD49="TRUE","trending ","")&amp;IF(AE49="TRUE","flash-sale ","")&amp;IF(AF49="TRUE","gift-pick ",""),"  "," "))</f>
        <v/>
      </c>
      <c r="AH49" s="17" t="str">
        <f aca="false">IF(B49="","",IF(I49=0,"Sold Out",IF(F49=0,"Draft","Active")))</f>
        <v/>
      </c>
    </row>
    <row r="50" customFormat="false" ht="15" hidden="false" customHeight="false" outlineLevel="0" collapsed="false">
      <c r="A50" s="2"/>
      <c r="B50" s="2"/>
      <c r="C50" s="3" t="str">
        <f aca="false">IF(B50="","",LOWER(SUBSTITUTE(SUBSTITUTE(SUBSTITUTE(TRIM(B50)," ","-"),",",""),".","")))</f>
        <v/>
      </c>
      <c r="D50" s="2"/>
      <c r="E50" s="2"/>
      <c r="F50" s="4"/>
      <c r="G50" s="4"/>
      <c r="H50" s="5" t="str">
        <f aca="false">IF(OR(G50="",G50=0,G50&lt;=F50),"",(G50-F50)/G50)</f>
        <v/>
      </c>
      <c r="I50" s="2"/>
      <c r="J50" s="2"/>
      <c r="K50" s="6"/>
      <c r="L50" s="2"/>
      <c r="M50" s="2"/>
      <c r="N50" s="7"/>
      <c r="O50" s="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8"/>
      <c r="AB50" s="8"/>
      <c r="AC50" s="8"/>
      <c r="AD50" s="8"/>
      <c r="AE50" s="8"/>
      <c r="AF50" s="8"/>
      <c r="AG50" s="3" t="str">
        <f aca="false">TRIM(SUBSTITUTE(IF(AA50="TRUE","new-arrival ","")&amp;IF(AB50="TRUE","best-seller ","")&amp;IF(AC50="TRUE","featured ","")&amp;IF(AD50="TRUE","trending ","")&amp;IF(AE50="TRUE","flash-sale ","")&amp;IF(AF50="TRUE","gift-pick ",""),"  "," "))</f>
        <v/>
      </c>
      <c r="AH50" s="9" t="str">
        <f aca="false">IF(B50="","",IF(I50=0,"Sold Out",IF(F50=0,"Draft","Active")))</f>
        <v/>
      </c>
    </row>
    <row r="51" customFormat="false" ht="15" hidden="false" customHeight="false" outlineLevel="0" collapsed="false">
      <c r="A51" s="10"/>
      <c r="B51" s="10"/>
      <c r="C51" s="11" t="str">
        <f aca="false">IF(B51="","",LOWER(SUBSTITUTE(SUBSTITUTE(SUBSTITUTE(TRIM(B51)," ","-"),",",""),".","")))</f>
        <v/>
      </c>
      <c r="D51" s="10"/>
      <c r="E51" s="10"/>
      <c r="F51" s="12"/>
      <c r="G51" s="12"/>
      <c r="H51" s="13" t="str">
        <f aca="false">IF(OR(G51="",G51=0,G51&lt;=F51),"",(G51-F51)/G51)</f>
        <v/>
      </c>
      <c r="I51" s="10"/>
      <c r="J51" s="10"/>
      <c r="K51" s="14"/>
      <c r="L51" s="10"/>
      <c r="M51" s="10"/>
      <c r="N51" s="15"/>
      <c r="O51" s="1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6"/>
      <c r="AB51" s="16"/>
      <c r="AC51" s="16"/>
      <c r="AD51" s="16"/>
      <c r="AE51" s="16"/>
      <c r="AF51" s="16"/>
      <c r="AG51" s="11" t="str">
        <f aca="false">TRIM(SUBSTITUTE(IF(AA51="TRUE","new-arrival ","")&amp;IF(AB51="TRUE","best-seller ","")&amp;IF(AC51="TRUE","featured ","")&amp;IF(AD51="TRUE","trending ","")&amp;IF(AE51="TRUE","flash-sale ","")&amp;IF(AF51="TRUE","gift-pick ",""),"  "," "))</f>
        <v/>
      </c>
      <c r="AH51" s="17" t="str">
        <f aca="false">IF(B51="","",IF(I51=0,"Sold Out",IF(F51=0,"Draft","Active")))</f>
        <v/>
      </c>
    </row>
  </sheetData>
  <conditionalFormatting sqref="H2:H51">
    <cfRule type="cellIs" priority="2" operator="greaterThan" aboveAverage="0" equalAverage="0" bottom="0" percent="0" rank="0" text="" dxfId="0">
      <formula>0</formula>
    </cfRule>
  </conditionalFormatting>
  <conditionalFormatting sqref="AH2:AH51">
    <cfRule type="expression" priority="3" aboveAverage="0" equalAverage="0" bottom="0" percent="0" rank="0" text="" dxfId="1">
      <formula>$AH2="Active"</formula>
    </cfRule>
    <cfRule type="expression" priority="4" aboveAverage="0" equalAverage="0" bottom="0" percent="0" rank="0" text="" dxfId="2">
      <formula>$AH2="Draft"</formula>
    </cfRule>
    <cfRule type="expression" priority="5" aboveAverage="0" equalAverage="0" bottom="0" percent="0" rank="0" text="" dxfId="3">
      <formula>$AH2="Sold Out"</formula>
    </cfRule>
  </conditionalFormatting>
  <conditionalFormatting sqref="I2:I51">
    <cfRule type="expression" priority="6" aboveAverage="0" equalAverage="0" bottom="0" percent="0" rank="0" text="" dxfId="2">
      <formula>AND($I2&gt;0,$I2&lt;10)</formula>
    </cfRule>
  </conditionalFormatting>
  <dataValidations count="4">
    <dataValidation allowBlank="true" error="Pick a category from the dropdown. See the 'Categories' sheet for all options." errorStyle="stop" errorTitle="Invalid category" operator="between" showDropDown="false" showErrorMessage="true" showInputMessage="false" sqref="E2:E51" type="list">
      <formula1>CategorySlugs</formula1>
      <formula2>0</formula2>
    </dataValidation>
    <dataValidation allowBlank="true" errorStyle="stop" operator="between" showDropDown="false" showErrorMessage="false" showInputMessage="false" sqref="AA2:AF51" type="list">
      <formula1>"TRUE,FALSE"</formula1>
      <formula2>0</formula2>
    </dataValidation>
    <dataValidation allowBlank="true" error="Rating must be 0 to 5." errorStyle="stop" errorTitle="Invalid rating" operator="between" showDropDown="false" showErrorMessage="true" showInputMessage="false" sqref="K2:K51" type="decimal">
      <formula1>0</formula1>
      <formula2>5</formula2>
    </dataValidation>
    <dataValidation allowBlank="true" errorStyle="stop" operator="greaterThanOrEqual" showDropDown="false" showErrorMessage="false" showInputMessage="false" sqref="I2:J51 L2:L5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27.75" hidden="false" customHeight="true" outlineLevel="0" collapsed="false">
      <c r="B2" s="18" t="s">
        <v>65</v>
      </c>
    </row>
    <row r="3" customFormat="false" ht="15" hidden="false" customHeight="false" outlineLevel="0" collapsed="false">
      <c r="B3" s="19" t="s">
        <v>66</v>
      </c>
    </row>
    <row r="6" customFormat="false" ht="15" hidden="false" customHeight="false" outlineLevel="0" collapsed="false">
      <c r="B6" s="20" t="s">
        <v>67</v>
      </c>
    </row>
    <row r="7" customFormat="false" ht="15" hidden="false" customHeight="false" outlineLevel="0" collapsed="false">
      <c r="A7" s="21" t="s">
        <v>68</v>
      </c>
      <c r="B7" s="22" t="s">
        <v>69</v>
      </c>
    </row>
    <row r="8" customFormat="false" ht="15" hidden="false" customHeight="false" outlineLevel="0" collapsed="false">
      <c r="A8" s="21" t="s">
        <v>70</v>
      </c>
      <c r="B8" s="22" t="s">
        <v>71</v>
      </c>
    </row>
    <row r="9" customFormat="false" ht="15" hidden="false" customHeight="false" outlineLevel="0" collapsed="false">
      <c r="A9" s="21" t="s">
        <v>72</v>
      </c>
      <c r="B9" s="22" t="s">
        <v>73</v>
      </c>
    </row>
    <row r="10" customFormat="false" ht="15" hidden="false" customHeight="false" outlineLevel="0" collapsed="false">
      <c r="A10" s="21" t="s">
        <v>74</v>
      </c>
      <c r="B10" s="22" t="s">
        <v>75</v>
      </c>
    </row>
    <row r="11" customFormat="false" ht="15" hidden="false" customHeight="false" outlineLevel="0" collapsed="false">
      <c r="A11" s="21" t="s">
        <v>76</v>
      </c>
      <c r="B11" s="22" t="s">
        <v>77</v>
      </c>
    </row>
    <row r="12" customFormat="false" ht="15" hidden="false" customHeight="false" outlineLevel="0" collapsed="false">
      <c r="A12" s="21" t="s">
        <v>78</v>
      </c>
      <c r="B12" s="22" t="s">
        <v>79</v>
      </c>
    </row>
    <row r="14" customFormat="false" ht="15" hidden="false" customHeight="false" outlineLevel="0" collapsed="false">
      <c r="B14" s="20" t="s">
        <v>80</v>
      </c>
    </row>
    <row r="15" customFormat="false" ht="15" hidden="false" customHeight="false" outlineLevel="0" collapsed="false">
      <c r="A15" s="21" t="s">
        <v>0</v>
      </c>
      <c r="B15" s="22" t="s">
        <v>81</v>
      </c>
    </row>
    <row r="16" customFormat="false" ht="15" hidden="false" customHeight="false" outlineLevel="0" collapsed="false">
      <c r="A16" s="21" t="s">
        <v>1</v>
      </c>
      <c r="B16" s="22" t="s">
        <v>82</v>
      </c>
    </row>
    <row r="17" customFormat="false" ht="15" hidden="false" customHeight="false" outlineLevel="0" collapsed="false">
      <c r="A17" s="21" t="s">
        <v>2</v>
      </c>
      <c r="B17" s="22" t="s">
        <v>83</v>
      </c>
    </row>
    <row r="18" customFormat="false" ht="15" hidden="false" customHeight="false" outlineLevel="0" collapsed="false">
      <c r="A18" s="21" t="s">
        <v>3</v>
      </c>
      <c r="B18" s="22" t="s">
        <v>84</v>
      </c>
    </row>
    <row r="19" customFormat="false" ht="15" hidden="false" customHeight="false" outlineLevel="0" collapsed="false">
      <c r="A19" s="21" t="s">
        <v>4</v>
      </c>
      <c r="B19" s="22" t="s">
        <v>85</v>
      </c>
    </row>
    <row r="20" customFormat="false" ht="15" hidden="false" customHeight="false" outlineLevel="0" collapsed="false">
      <c r="A20" s="21" t="s">
        <v>5</v>
      </c>
      <c r="B20" s="22" t="s">
        <v>86</v>
      </c>
    </row>
    <row r="21" customFormat="false" ht="15" hidden="false" customHeight="false" outlineLevel="0" collapsed="false">
      <c r="A21" s="21" t="s">
        <v>6</v>
      </c>
      <c r="B21" s="22" t="s">
        <v>87</v>
      </c>
    </row>
    <row r="22" customFormat="false" ht="15" hidden="false" customHeight="false" outlineLevel="0" collapsed="false">
      <c r="A22" s="21" t="s">
        <v>7</v>
      </c>
      <c r="B22" s="22" t="s">
        <v>88</v>
      </c>
    </row>
    <row r="23" customFormat="false" ht="15" hidden="false" customHeight="false" outlineLevel="0" collapsed="false">
      <c r="A23" s="21" t="s">
        <v>8</v>
      </c>
      <c r="B23" s="22" t="s">
        <v>89</v>
      </c>
    </row>
    <row r="24" customFormat="false" ht="15" hidden="false" customHeight="false" outlineLevel="0" collapsed="false">
      <c r="A24" s="21" t="s">
        <v>9</v>
      </c>
      <c r="B24" s="22" t="s">
        <v>90</v>
      </c>
    </row>
    <row r="25" customFormat="false" ht="15" hidden="false" customHeight="false" outlineLevel="0" collapsed="false">
      <c r="A25" s="21" t="s">
        <v>10</v>
      </c>
      <c r="B25" s="22" t="s">
        <v>91</v>
      </c>
    </row>
    <row r="26" customFormat="false" ht="15" hidden="false" customHeight="false" outlineLevel="0" collapsed="false">
      <c r="A26" s="21" t="s">
        <v>11</v>
      </c>
      <c r="B26" s="22" t="s">
        <v>92</v>
      </c>
    </row>
    <row r="27" customFormat="false" ht="15" hidden="false" customHeight="false" outlineLevel="0" collapsed="false">
      <c r="A27" s="21" t="s">
        <v>12</v>
      </c>
      <c r="B27" s="22" t="s">
        <v>93</v>
      </c>
    </row>
    <row r="28" customFormat="false" ht="15" hidden="false" customHeight="false" outlineLevel="0" collapsed="false">
      <c r="A28" s="21" t="s">
        <v>13</v>
      </c>
      <c r="B28" s="22" t="s">
        <v>94</v>
      </c>
    </row>
    <row r="29" customFormat="false" ht="15" hidden="false" customHeight="false" outlineLevel="0" collapsed="false">
      <c r="A29" s="21" t="s">
        <v>14</v>
      </c>
      <c r="B29" s="22" t="s">
        <v>95</v>
      </c>
    </row>
    <row r="30" customFormat="false" ht="15" hidden="false" customHeight="false" outlineLevel="0" collapsed="false">
      <c r="A30" s="21" t="s">
        <v>96</v>
      </c>
      <c r="B30" s="22" t="s">
        <v>97</v>
      </c>
    </row>
    <row r="31" customFormat="false" ht="15" hidden="false" customHeight="false" outlineLevel="0" collapsed="false">
      <c r="A31" s="21" t="s">
        <v>98</v>
      </c>
      <c r="B31" s="22" t="s">
        <v>99</v>
      </c>
    </row>
    <row r="32" customFormat="false" ht="15" hidden="false" customHeight="false" outlineLevel="0" collapsed="false">
      <c r="A32" s="21" t="s">
        <v>100</v>
      </c>
      <c r="B32" s="22" t="s">
        <v>101</v>
      </c>
    </row>
    <row r="34" customFormat="false" ht="15" hidden="false" customHeight="false" outlineLevel="0" collapsed="false">
      <c r="B34" s="20" t="s">
        <v>102</v>
      </c>
    </row>
    <row r="35" customFormat="false" ht="15" hidden="false" customHeight="false" outlineLevel="0" collapsed="false">
      <c r="A35" s="21" t="s">
        <v>103</v>
      </c>
      <c r="B35" s="22" t="s">
        <v>104</v>
      </c>
    </row>
    <row r="36" customFormat="false" ht="15" hidden="false" customHeight="false" outlineLevel="0" collapsed="false">
      <c r="A36" s="21" t="s">
        <v>105</v>
      </c>
      <c r="B36" s="22" t="s">
        <v>106</v>
      </c>
    </row>
    <row r="37" customFormat="false" ht="15" hidden="false" customHeight="false" outlineLevel="0" collapsed="false">
      <c r="A37" s="21" t="s">
        <v>107</v>
      </c>
      <c r="B37" s="22" t="s">
        <v>108</v>
      </c>
    </row>
    <row r="38" customFormat="false" ht="15" hidden="false" customHeight="false" outlineLevel="0" collapsed="false">
      <c r="A38" s="21" t="s">
        <v>109</v>
      </c>
      <c r="B38" s="22" t="s">
        <v>110</v>
      </c>
    </row>
    <row r="39" customFormat="false" ht="15" hidden="false" customHeight="false" outlineLevel="0" collapsed="false">
      <c r="A39" s="21" t="s">
        <v>111</v>
      </c>
      <c r="B39" s="22" t="s">
        <v>112</v>
      </c>
    </row>
    <row r="40" customFormat="false" ht="15" hidden="false" customHeight="false" outlineLevel="0" collapsed="false">
      <c r="A40" s="21" t="s">
        <v>113</v>
      </c>
      <c r="B40" s="22" t="s">
        <v>114</v>
      </c>
    </row>
    <row r="42" customFormat="false" ht="15" hidden="false" customHeight="false" outlineLevel="0" collapsed="false">
      <c r="B42" s="20" t="s">
        <v>115</v>
      </c>
    </row>
    <row r="43" customFormat="false" ht="15" hidden="false" customHeight="false" outlineLevel="0" collapsed="false">
      <c r="A43" s="21" t="s">
        <v>116</v>
      </c>
      <c r="B43" s="22" t="s">
        <v>117</v>
      </c>
    </row>
    <row r="44" customFormat="false" ht="15" hidden="false" customHeight="false" outlineLevel="0" collapsed="false">
      <c r="A44" s="21" t="s">
        <v>118</v>
      </c>
      <c r="B44" s="22" t="s">
        <v>119</v>
      </c>
    </row>
    <row r="45" customFormat="false" ht="15" hidden="false" customHeight="false" outlineLevel="0" collapsed="false">
      <c r="A45" s="21" t="s">
        <v>120</v>
      </c>
      <c r="B45" s="2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23" t="s">
        <v>122</v>
      </c>
      <c r="B1" s="23" t="s">
        <v>123</v>
      </c>
      <c r="C1" s="23" t="s">
        <v>124</v>
      </c>
    </row>
    <row r="2" customFormat="false" ht="15" hidden="false" customHeight="false" outlineLevel="0" collapsed="false">
      <c r="A2" s="24" t="s">
        <v>125</v>
      </c>
      <c r="B2" s="25" t="s">
        <v>37</v>
      </c>
      <c r="C2" s="26" t="n">
        <v>124</v>
      </c>
    </row>
    <row r="3" customFormat="false" ht="15" hidden="false" customHeight="false" outlineLevel="0" collapsed="false">
      <c r="A3" s="24" t="s">
        <v>126</v>
      </c>
      <c r="B3" s="25" t="s">
        <v>55</v>
      </c>
      <c r="C3" s="26" t="n">
        <v>86</v>
      </c>
    </row>
    <row r="4" customFormat="false" ht="15" hidden="false" customHeight="false" outlineLevel="0" collapsed="false">
      <c r="A4" s="24" t="s">
        <v>127</v>
      </c>
      <c r="B4" s="25" t="s">
        <v>128</v>
      </c>
      <c r="C4" s="26" t="n">
        <v>212</v>
      </c>
    </row>
    <row r="5" customFormat="false" ht="15" hidden="false" customHeight="false" outlineLevel="0" collapsed="false">
      <c r="A5" s="24" t="s">
        <v>129</v>
      </c>
      <c r="B5" s="25" t="s">
        <v>130</v>
      </c>
      <c r="C5" s="26" t="n">
        <v>178</v>
      </c>
    </row>
    <row r="6" customFormat="false" ht="15" hidden="false" customHeight="false" outlineLevel="0" collapsed="false">
      <c r="A6" s="24" t="s">
        <v>131</v>
      </c>
      <c r="B6" s="25" t="s">
        <v>132</v>
      </c>
      <c r="C6" s="26" t="n">
        <v>144</v>
      </c>
    </row>
    <row r="7" customFormat="false" ht="15" hidden="false" customHeight="false" outlineLevel="0" collapsed="false">
      <c r="A7" s="24" t="s">
        <v>133</v>
      </c>
      <c r="B7" s="25" t="s">
        <v>134</v>
      </c>
      <c r="C7" s="26" t="n">
        <v>96</v>
      </c>
    </row>
    <row r="8" customFormat="false" ht="15" hidden="false" customHeight="false" outlineLevel="0" collapsed="false">
      <c r="A8" s="24" t="s">
        <v>135</v>
      </c>
      <c r="B8" s="25" t="s">
        <v>136</v>
      </c>
      <c r="C8" s="26" t="n">
        <v>68</v>
      </c>
    </row>
    <row r="9" customFormat="false" ht="15" hidden="false" customHeight="false" outlineLevel="0" collapsed="false">
      <c r="A9" s="24" t="s">
        <v>137</v>
      </c>
      <c r="B9" s="25" t="s">
        <v>138</v>
      </c>
      <c r="C9" s="26" t="n">
        <v>54</v>
      </c>
    </row>
    <row r="10" customFormat="false" ht="15" hidden="false" customHeight="false" outlineLevel="0" collapsed="false">
      <c r="A10" s="24" t="s">
        <v>139</v>
      </c>
      <c r="B10" s="25" t="s">
        <v>140</v>
      </c>
      <c r="C10" s="26" t="n">
        <v>42</v>
      </c>
    </row>
    <row r="11" customFormat="false" ht="15" hidden="false" customHeight="false" outlineLevel="0" collapsed="false">
      <c r="A11" s="24" t="s">
        <v>141</v>
      </c>
      <c r="B11" s="25" t="s">
        <v>142</v>
      </c>
      <c r="C11" s="26" t="n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23" t="s">
        <v>143</v>
      </c>
      <c r="B1" s="23" t="s">
        <v>144</v>
      </c>
      <c r="C1" s="23" t="s">
        <v>145</v>
      </c>
    </row>
    <row r="2" customFormat="false" ht="25.5" hidden="false" customHeight="true" outlineLevel="0" collapsed="false">
      <c r="A2" s="25" t="s">
        <v>103</v>
      </c>
      <c r="B2" s="27" t="s">
        <v>146</v>
      </c>
      <c r="C2" s="27" t="s">
        <v>147</v>
      </c>
    </row>
    <row r="3" customFormat="false" ht="25.5" hidden="false" customHeight="true" outlineLevel="0" collapsed="false">
      <c r="A3" s="25" t="s">
        <v>105</v>
      </c>
      <c r="B3" s="27" t="s">
        <v>148</v>
      </c>
      <c r="C3" s="27" t="s">
        <v>149</v>
      </c>
    </row>
    <row r="4" customFormat="false" ht="25.5" hidden="false" customHeight="true" outlineLevel="0" collapsed="false">
      <c r="A4" s="25" t="s">
        <v>107</v>
      </c>
      <c r="B4" s="27" t="s">
        <v>150</v>
      </c>
      <c r="C4" s="27" t="s">
        <v>151</v>
      </c>
    </row>
    <row r="5" customFormat="false" ht="25.5" hidden="false" customHeight="true" outlineLevel="0" collapsed="false">
      <c r="A5" s="25" t="s">
        <v>109</v>
      </c>
      <c r="B5" s="27" t="s">
        <v>152</v>
      </c>
      <c r="C5" s="27" t="s">
        <v>153</v>
      </c>
    </row>
    <row r="6" customFormat="false" ht="25.5" hidden="false" customHeight="true" outlineLevel="0" collapsed="false">
      <c r="A6" s="25" t="s">
        <v>111</v>
      </c>
      <c r="B6" s="27" t="s">
        <v>154</v>
      </c>
      <c r="C6" s="27" t="s">
        <v>155</v>
      </c>
    </row>
    <row r="7" customFormat="false" ht="25.5" hidden="false" customHeight="true" outlineLevel="0" collapsed="false">
      <c r="A7" s="25" t="s">
        <v>113</v>
      </c>
      <c r="B7" s="27" t="s">
        <v>156</v>
      </c>
      <c r="C7" s="27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9" t="s">
        <v>158</v>
      </c>
    </row>
    <row r="3" customFormat="false" ht="15" hidden="false" customHeight="false" outlineLevel="0" collapsed="false">
      <c r="A3" s="2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2026-05-18T07:25:11Z</dcterms:created>
  <dc:creator>openpyxl</dc:creator>
  <dc:description/>
  <dc:language>en-US</dc:language>
  <cp:lastModifiedBy/>
  <dcterms:modified xsi:type="dcterms:W3CDTF">2026-05-18T07:25:12Z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