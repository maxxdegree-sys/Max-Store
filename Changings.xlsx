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 11\Downloads\"/>
    </mc:Choice>
  </mc:AlternateContent>
  <bookViews>
    <workbookView xWindow="0" yWindow="0" windowWidth="16380" windowHeight="8190" tabRatio="500"/>
  </bookViews>
  <sheets>
    <sheet name="Categories" sheetId="1" r:id="rId1"/>
    <sheet name="Commission Slabs" sheetId="2" r:id="rId2"/>
    <sheet name="Calculator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3" l="1"/>
  <c r="B6" i="3" s="1"/>
  <c r="B7" i="3" s="1"/>
  <c r="B4" i="3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</calcChain>
</file>

<file path=xl/sharedStrings.xml><?xml version="1.0" encoding="utf-8"?>
<sst xmlns="http://schemas.openxmlformats.org/spreadsheetml/2006/main" count="75" uniqueCount="75">
  <si>
    <t>Product Categories</t>
  </si>
  <si>
    <t>#</t>
  </si>
  <si>
    <t>Category</t>
  </si>
  <si>
    <t>Sub-Categories</t>
  </si>
  <si>
    <t>Electronics</t>
  </si>
  <si>
    <t>Mobile Phones, Tablets, Laptops, Cameras, TVs, Audio, Wearables, Gaming, Cables</t>
  </si>
  <si>
    <t>Home Appliances</t>
  </si>
  <si>
    <t>Washing Machines, Refrigerators, Air Conditioners, Fans, Irons, Vacuum Cleaners, Water Dispensers</t>
  </si>
  <si>
    <t>Kitchen Appliances</t>
  </si>
  <si>
    <t>Blenders, Food Processors, Microwaves, Rice Cookers, Kettles, Toasters, Coffee Makers, Air Fryers</t>
  </si>
  <si>
    <t>Kitchen &amp; Dining</t>
  </si>
  <si>
    <t>Cookware, Dinner Sets, Tea Sets, Glassware, Cutlery, Serving Dishes, Storage Containers</t>
  </si>
  <si>
    <t>Furniture &amp; Home Decor</t>
  </si>
  <si>
    <t>Sofas, Beds, Tables, Wardrobes, Curtains, Rugs, Wall Art, Lighting</t>
  </si>
  <si>
    <t>Clothing &amp; Apparel</t>
  </si>
  <si>
    <t>Men's, Women's, Kids', Ethnic Wear, Activewear, Innerwear, Winterwear</t>
  </si>
  <si>
    <t>Footwear</t>
  </si>
  <si>
    <t>Men's Shoes, Women's Shoes, Kids' Shoes, Sandals, Sports Shoes, Formal Shoes</t>
  </si>
  <si>
    <t>Bags &amp; Luggage</t>
  </si>
  <si>
    <t>Backpacks, Handbags, Travel Bags, Wallets, School Bags</t>
  </si>
  <si>
    <t>Beauty &amp; Personal Care</t>
  </si>
  <si>
    <t>Skincare, Hair Care, Fragrances, Makeup, Shavers, Oral Care, Bath &amp; Body</t>
  </si>
  <si>
    <t>Health &amp; Wellness</t>
  </si>
  <si>
    <t>Vitamins, Medical Devices, Fitness Equipment, Eye Care, Personal Safety</t>
  </si>
  <si>
    <t>Baby &amp; Kids</t>
  </si>
  <si>
    <t>Baby Clothing, Diapers, Feeding, Strollers, Toys, Kids' Furniture</t>
  </si>
  <si>
    <t>Toys &amp; Games</t>
  </si>
  <si>
    <t>Action Figures, Board Games, Puzzles, Outdoor Toys, Educational Toys, RC Toys</t>
  </si>
  <si>
    <t>Sports &amp; Outdoors</t>
  </si>
  <si>
    <t>Cricket, Football, Gym &amp; Fitness, Cycling, Swimming, Camping, Sports Clothing</t>
  </si>
  <si>
    <t>Tools &amp; Hardware</t>
  </si>
  <si>
    <t>Hand Tools, Power Tools, Electrical Supplies, Plumbing, Safety, Measuring Tools</t>
  </si>
  <si>
    <t>Automotive</t>
  </si>
  <si>
    <t>Car Accessories, Bike Accessories, Car Care, Oils &amp; Lubricants, GPS</t>
  </si>
  <si>
    <t>Books &amp; Stationery</t>
  </si>
  <si>
    <t>Fiction, Non-Fiction, Academic, Notebooks, Pens, Art Supplies</t>
  </si>
  <si>
    <t>Office Supplies</t>
  </si>
  <si>
    <t>Printers, Paper &amp; Files, Desk Accessories, Shredders, Whiteboards</t>
  </si>
  <si>
    <t>Pet Supplies</t>
  </si>
  <si>
    <t>Pet Food, Accessories, Grooming, Cages &amp; Kennels</t>
  </si>
  <si>
    <t>Garden &amp; Outdoor</t>
  </si>
  <si>
    <t>Plants &amp; Seeds, Garden Tools, Outdoor Furniture, BBQ, Irrigation</t>
  </si>
  <si>
    <t>Food &amp; Groceries</t>
  </si>
  <si>
    <t>Dry Goods, Snacks, Beverages, Cooking Oils, Organic Foods</t>
  </si>
  <si>
    <t>Musical Instruments</t>
  </si>
  <si>
    <t>Guitars, Keyboards, Drums, Wind Instruments, Studio Equipment</t>
  </si>
  <si>
    <t>Art &amp; Crafts</t>
  </si>
  <si>
    <t>Painting, Drawing, Craft Kits, Sewing, Scrapbooking</t>
  </si>
  <si>
    <t>Software &amp; Gaming</t>
  </si>
  <si>
    <t>PC Games, Console Games, Antivirus, Gaming Accessories, Gift Cards</t>
  </si>
  <si>
    <t>Commission Slabs — Flat Rate on Full Product Price</t>
  </si>
  <si>
    <t>Note: The applicable slab rate is charged as a flat % on the full product price.</t>
  </si>
  <si>
    <t>Slab #</t>
  </si>
  <si>
    <t>Price Range</t>
  </si>
  <si>
    <t>Min Price (Rs.)</t>
  </si>
  <si>
    <t>Max Price (Rs.)</t>
  </si>
  <si>
    <t>Commission Rate</t>
  </si>
  <si>
    <t>Example Price (Rs.)</t>
  </si>
  <si>
    <t>Commission Charged (Rs.)</t>
  </si>
  <si>
    <t>Seller Receives (Rs.)</t>
  </si>
  <si>
    <t>Up to Rs. 499</t>
  </si>
  <si>
    <t>Rs. 500 – 999</t>
  </si>
  <si>
    <t>Rs. 1,000 – 4,999</t>
  </si>
  <si>
    <t>Rs. 5,000 – 9,999</t>
  </si>
  <si>
    <t>Rs. 10,000 – 49,999</t>
  </si>
  <si>
    <t>Rs. 50,000 – 99,999</t>
  </si>
  <si>
    <t>Rs. 100,000 and above</t>
  </si>
  <si>
    <t>No limit</t>
  </si>
  <si>
    <t>Commission Calculator (Flat Rate)</t>
  </si>
  <si>
    <t>Product Price (Rs.):</t>
  </si>
  <si>
    <t>Applicable Slab</t>
  </si>
  <si>
    <t>Flat Commission Rate</t>
  </si>
  <si>
    <t>Commission Charged</t>
  </si>
  <si>
    <t>Seller Receives</t>
  </si>
  <si>
    <t>Change the value in B3 to recalculate. Rate is applied as a flat % on the full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</si>
</sst>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9"/>
      <color rgb="FF444444"/>
      <name val="Arial"/>
      <charset val="1"/>
    </font>
    <font>
      <i/>
      <sz val="9"/>
      <color rgb="FF666666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  <font>
      <i/>
      <sz val="9"/>
      <color rgb="FF888888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5FB"/>
        <bgColor rgb="FFE8F8F5"/>
      </patternFill>
    </fill>
    <fill>
      <patternFill patternType="solid">
        <fgColor rgb="FFFFFFFF"/>
        <bgColor rgb="FFEBF5FB"/>
      </patternFill>
    </fill>
    <fill>
      <patternFill patternType="solid">
        <fgColor rgb="FFFFD7D7"/>
        <bgColor rgb="FFFFE8CC"/>
      </patternFill>
    </fill>
    <fill>
      <patternFill patternType="solid">
        <fgColor rgb="FFFFE8CC"/>
        <bgColor rgb="FFFFD7D7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E8F8F5"/>
        <bgColor rgb="FFEBF5FB"/>
      </patternFill>
    </fill>
    <fill>
      <patternFill patternType="solid">
        <fgColor rgb="FFEDE7F6"/>
        <bgColor rgb="FFF0F0F0"/>
      </patternFill>
    </fill>
    <fill>
      <patternFill patternType="solid">
        <fgColor rgb="FFF0F0F0"/>
        <bgColor rgb="FFEBF5F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6" fillId="0" borderId="0" xfId="0" applyFont="1"/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3" fontId="3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3" fontId="3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3" fontId="7" fillId="8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3" fontId="3" fillId="9" borderId="1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3" fontId="7" fillId="9" borderId="1" xfId="0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3" fontId="3" fillId="10" borderId="1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3" fontId="7" fillId="10" borderId="1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3" fontId="3" fillId="11" borderId="1" xfId="0" applyNumberFormat="1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center" vertical="center"/>
    </xf>
    <xf numFmtId="3" fontId="7" fillId="11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8" fillId="0" borderId="0" xfId="0" applyFont="1"/>
    <xf numFmtId="3" fontId="9" fillId="0" borderId="2" xfId="0" applyNumberFormat="1" applyFont="1" applyBorder="1"/>
    <xf numFmtId="0" fontId="8" fillId="0" borderId="0" xfId="0" applyFont="1" applyAlignment="1">
      <alignment vertical="center"/>
    </xf>
    <xf numFmtId="49" fontId="10" fillId="7" borderId="1" xfId="0" applyNumberFormat="1" applyFont="1" applyFill="1" applyBorder="1" applyAlignment="1">
      <alignment horizontal="center" vertical="center"/>
    </xf>
    <xf numFmtId="164" fontId="10" fillId="8" borderId="1" xfId="0" applyNumberFormat="1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3" fontId="10" fillId="9" borderId="1" xfId="0" applyNumberFormat="1" applyFont="1" applyFill="1" applyBorder="1" applyAlignment="1">
      <alignment horizontal="center" vertic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E8CC"/>
      <rgbColor rgb="FFE8F8F5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0F0F0"/>
      <rgbColor rgb="FFEBF5FB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topLeftCell="A19" zoomScaleNormal="100" workbookViewId="0"/>
  </sheetViews>
  <sheetFormatPr defaultColWidth="8.6328125" defaultRowHeight="14.5" x14ac:dyDescent="0.35"/>
  <cols>
    <col min="1" max="1" width="6" customWidth="1"/>
    <col min="2" max="2" width="24" customWidth="1"/>
    <col min="3" max="3" width="60" customWidth="1"/>
  </cols>
  <sheetData>
    <row r="1" spans="1:3" ht="30" customHeight="1" x14ac:dyDescent="0.35">
      <c r="A1" s="1" t="s">
        <v>0</v>
      </c>
    </row>
    <row r="2" spans="1:3" ht="6" customHeight="1" x14ac:dyDescent="0.35"/>
    <row r="3" spans="1:3" ht="21.75" customHeight="1" x14ac:dyDescent="0.35">
      <c r="A3" s="2" t="s">
        <v>1</v>
      </c>
      <c r="B3" s="2" t="s">
        <v>2</v>
      </c>
      <c r="C3" s="2" t="s">
        <v>3</v>
      </c>
    </row>
    <row r="4" spans="1:3" ht="30" customHeight="1" x14ac:dyDescent="0.35">
      <c r="A4" s="3">
        <v>1</v>
      </c>
      <c r="B4" s="4" t="s">
        <v>4</v>
      </c>
      <c r="C4" s="5" t="s">
        <v>5</v>
      </c>
    </row>
    <row r="5" spans="1:3" ht="30" customHeight="1" x14ac:dyDescent="0.35">
      <c r="A5" s="6">
        <v>2</v>
      </c>
      <c r="B5" s="7" t="s">
        <v>6</v>
      </c>
      <c r="C5" s="8" t="s">
        <v>7</v>
      </c>
    </row>
    <row r="6" spans="1:3" ht="30" customHeight="1" x14ac:dyDescent="0.35">
      <c r="A6" s="3">
        <v>3</v>
      </c>
      <c r="B6" s="4" t="s">
        <v>8</v>
      </c>
      <c r="C6" s="5" t="s">
        <v>9</v>
      </c>
    </row>
    <row r="7" spans="1:3" ht="30" customHeight="1" x14ac:dyDescent="0.35">
      <c r="A7" s="6">
        <v>4</v>
      </c>
      <c r="B7" s="7" t="s">
        <v>10</v>
      </c>
      <c r="C7" s="8" t="s">
        <v>11</v>
      </c>
    </row>
    <row r="8" spans="1:3" ht="30" customHeight="1" x14ac:dyDescent="0.35">
      <c r="A8" s="3">
        <v>5</v>
      </c>
      <c r="B8" s="4" t="s">
        <v>12</v>
      </c>
      <c r="C8" s="5" t="s">
        <v>13</v>
      </c>
    </row>
    <row r="9" spans="1:3" ht="30" customHeight="1" x14ac:dyDescent="0.35">
      <c r="A9" s="6">
        <v>6</v>
      </c>
      <c r="B9" s="7" t="s">
        <v>14</v>
      </c>
      <c r="C9" s="8" t="s">
        <v>15</v>
      </c>
    </row>
    <row r="10" spans="1:3" ht="30" customHeight="1" x14ac:dyDescent="0.35">
      <c r="A10" s="3">
        <v>7</v>
      </c>
      <c r="B10" s="4" t="s">
        <v>16</v>
      </c>
      <c r="C10" s="5" t="s">
        <v>17</v>
      </c>
    </row>
    <row r="11" spans="1:3" ht="30" customHeight="1" x14ac:dyDescent="0.35">
      <c r="A11" s="6">
        <v>8</v>
      </c>
      <c r="B11" s="7" t="s">
        <v>18</v>
      </c>
      <c r="C11" s="8" t="s">
        <v>19</v>
      </c>
    </row>
    <row r="12" spans="1:3" ht="30" customHeight="1" x14ac:dyDescent="0.35">
      <c r="A12" s="3">
        <v>9</v>
      </c>
      <c r="B12" s="4" t="s">
        <v>20</v>
      </c>
      <c r="C12" s="5" t="s">
        <v>21</v>
      </c>
    </row>
    <row r="13" spans="1:3" ht="30" customHeight="1" x14ac:dyDescent="0.35">
      <c r="A13" s="6">
        <v>10</v>
      </c>
      <c r="B13" s="7" t="s">
        <v>22</v>
      </c>
      <c r="C13" s="8" t="s">
        <v>23</v>
      </c>
    </row>
    <row r="14" spans="1:3" ht="30" customHeight="1" x14ac:dyDescent="0.35">
      <c r="A14" s="3">
        <v>11</v>
      </c>
      <c r="B14" s="4" t="s">
        <v>24</v>
      </c>
      <c r="C14" s="5" t="s">
        <v>25</v>
      </c>
    </row>
    <row r="15" spans="1:3" ht="30" customHeight="1" x14ac:dyDescent="0.35">
      <c r="A15" s="6">
        <v>12</v>
      </c>
      <c r="B15" s="7" t="s">
        <v>26</v>
      </c>
      <c r="C15" s="8" t="s">
        <v>27</v>
      </c>
    </row>
    <row r="16" spans="1:3" ht="30" customHeight="1" x14ac:dyDescent="0.35">
      <c r="A16" s="3">
        <v>13</v>
      </c>
      <c r="B16" s="4" t="s">
        <v>28</v>
      </c>
      <c r="C16" s="5" t="s">
        <v>29</v>
      </c>
    </row>
    <row r="17" spans="1:3" ht="30" customHeight="1" x14ac:dyDescent="0.35">
      <c r="A17" s="6">
        <v>14</v>
      </c>
      <c r="B17" s="7" t="s">
        <v>30</v>
      </c>
      <c r="C17" s="8" t="s">
        <v>31</v>
      </c>
    </row>
    <row r="18" spans="1:3" ht="30" customHeight="1" x14ac:dyDescent="0.35">
      <c r="A18" s="3">
        <v>15</v>
      </c>
      <c r="B18" s="4" t="s">
        <v>32</v>
      </c>
      <c r="C18" s="5" t="s">
        <v>33</v>
      </c>
    </row>
    <row r="19" spans="1:3" ht="30" customHeight="1" x14ac:dyDescent="0.35">
      <c r="A19" s="6">
        <v>16</v>
      </c>
      <c r="B19" s="7" t="s">
        <v>34</v>
      </c>
      <c r="C19" s="8" t="s">
        <v>35</v>
      </c>
    </row>
    <row r="20" spans="1:3" ht="30" customHeight="1" x14ac:dyDescent="0.35">
      <c r="A20" s="3">
        <v>17</v>
      </c>
      <c r="B20" s="4" t="s">
        <v>36</v>
      </c>
      <c r="C20" s="5" t="s">
        <v>37</v>
      </c>
    </row>
    <row r="21" spans="1:3" ht="30" customHeight="1" x14ac:dyDescent="0.35">
      <c r="A21" s="6">
        <v>18</v>
      </c>
      <c r="B21" s="7" t="s">
        <v>38</v>
      </c>
      <c r="C21" s="8" t="s">
        <v>39</v>
      </c>
    </row>
    <row r="22" spans="1:3" ht="30" customHeight="1" x14ac:dyDescent="0.35">
      <c r="A22" s="3">
        <v>19</v>
      </c>
      <c r="B22" s="4" t="s">
        <v>40</v>
      </c>
      <c r="C22" s="5" t="s">
        <v>41</v>
      </c>
    </row>
    <row r="23" spans="1:3" ht="30" customHeight="1" x14ac:dyDescent="0.35">
      <c r="A23" s="6">
        <v>20</v>
      </c>
      <c r="B23" s="7" t="s">
        <v>42</v>
      </c>
      <c r="C23" s="8" t="s">
        <v>43</v>
      </c>
    </row>
    <row r="24" spans="1:3" ht="30" customHeight="1" x14ac:dyDescent="0.35">
      <c r="A24" s="3">
        <v>21</v>
      </c>
      <c r="B24" s="4" t="s">
        <v>44</v>
      </c>
      <c r="C24" s="5" t="s">
        <v>45</v>
      </c>
    </row>
    <row r="25" spans="1:3" ht="30" customHeight="1" x14ac:dyDescent="0.35">
      <c r="A25" s="6">
        <v>22</v>
      </c>
      <c r="B25" s="7" t="s">
        <v>46</v>
      </c>
      <c r="C25" s="8" t="s">
        <v>47</v>
      </c>
    </row>
    <row r="26" spans="1:3" ht="30" customHeight="1" x14ac:dyDescent="0.35">
      <c r="A26" s="3">
        <v>23</v>
      </c>
      <c r="B26" s="4" t="s">
        <v>48</v>
      </c>
      <c r="C26" s="5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zoomScaleNormal="100" workbookViewId="0">
      <selection activeCell="F7" sqref="F7"/>
    </sheetView>
  </sheetViews>
  <sheetFormatPr defaultColWidth="8.6328125" defaultRowHeight="14.5" x14ac:dyDescent="0.35"/>
  <cols>
    <col min="1" max="1" width="8" customWidth="1"/>
    <col min="2" max="2" width="24" customWidth="1"/>
    <col min="3" max="4" width="16" customWidth="1"/>
    <col min="5" max="5" width="17" customWidth="1"/>
    <col min="6" max="6" width="20" customWidth="1"/>
    <col min="7" max="7" width="24" customWidth="1"/>
    <col min="8" max="8" width="22" customWidth="1"/>
  </cols>
  <sheetData>
    <row r="1" spans="1:8" ht="30" customHeight="1" x14ac:dyDescent="0.35">
      <c r="A1" s="1" t="s">
        <v>50</v>
      </c>
    </row>
    <row r="2" spans="1:8" ht="6" customHeight="1" x14ac:dyDescent="0.35"/>
    <row r="3" spans="1:8" ht="15.75" customHeight="1" x14ac:dyDescent="0.35">
      <c r="A3" s="9" t="s">
        <v>51</v>
      </c>
    </row>
    <row r="4" spans="1:8" ht="6" customHeight="1" x14ac:dyDescent="0.35"/>
    <row r="5" spans="1:8" ht="21.75" customHeight="1" x14ac:dyDescent="0.35">
      <c r="A5" s="2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59</v>
      </c>
    </row>
    <row r="6" spans="1:8" ht="19.5" customHeight="1" x14ac:dyDescent="0.35">
      <c r="A6" s="10">
        <v>1</v>
      </c>
      <c r="B6" s="11" t="s">
        <v>60</v>
      </c>
      <c r="C6" s="12">
        <v>1</v>
      </c>
      <c r="D6" s="12">
        <v>499</v>
      </c>
      <c r="E6" s="13">
        <v>0.1</v>
      </c>
      <c r="F6" s="12">
        <v>300</v>
      </c>
      <c r="G6" s="14">
        <f t="shared" ref="G6:G12" si="0">ROUND(F6*E6,0)</f>
        <v>30</v>
      </c>
      <c r="H6" s="14">
        <f t="shared" ref="H6:H12" si="1">F6-G6</f>
        <v>270</v>
      </c>
    </row>
    <row r="7" spans="1:8" ht="19.5" customHeight="1" x14ac:dyDescent="0.35">
      <c r="A7" s="15">
        <v>2</v>
      </c>
      <c r="B7" s="16" t="s">
        <v>61</v>
      </c>
      <c r="C7" s="17">
        <v>500</v>
      </c>
      <c r="D7" s="17">
        <v>999</v>
      </c>
      <c r="E7" s="18">
        <v>0.09</v>
      </c>
      <c r="F7" s="17">
        <v>750</v>
      </c>
      <c r="G7" s="19">
        <f t="shared" si="0"/>
        <v>68</v>
      </c>
      <c r="H7" s="19">
        <f t="shared" si="1"/>
        <v>682</v>
      </c>
    </row>
    <row r="8" spans="1:8" ht="19.5" customHeight="1" x14ac:dyDescent="0.35">
      <c r="A8" s="20">
        <v>3</v>
      </c>
      <c r="B8" s="21" t="s">
        <v>62</v>
      </c>
      <c r="C8" s="22">
        <v>1000</v>
      </c>
      <c r="D8" s="22">
        <v>4999</v>
      </c>
      <c r="E8" s="23">
        <v>0.08</v>
      </c>
      <c r="F8" s="22">
        <v>2500</v>
      </c>
      <c r="G8" s="24">
        <f t="shared" si="0"/>
        <v>200</v>
      </c>
      <c r="H8" s="24">
        <f t="shared" si="1"/>
        <v>2300</v>
      </c>
    </row>
    <row r="9" spans="1:8" ht="19.5" customHeight="1" x14ac:dyDescent="0.35">
      <c r="A9" s="25">
        <v>4</v>
      </c>
      <c r="B9" s="26" t="s">
        <v>63</v>
      </c>
      <c r="C9" s="27">
        <v>5000</v>
      </c>
      <c r="D9" s="27">
        <v>9999</v>
      </c>
      <c r="E9" s="28">
        <v>7.0000000000000007E-2</v>
      </c>
      <c r="F9" s="27">
        <v>7500</v>
      </c>
      <c r="G9" s="29">
        <f t="shared" si="0"/>
        <v>525</v>
      </c>
      <c r="H9" s="29">
        <f t="shared" si="1"/>
        <v>6975</v>
      </c>
    </row>
    <row r="10" spans="1:8" ht="19.5" customHeight="1" x14ac:dyDescent="0.35">
      <c r="A10" s="30">
        <v>5</v>
      </c>
      <c r="B10" s="31" t="s">
        <v>64</v>
      </c>
      <c r="C10" s="32">
        <v>10000</v>
      </c>
      <c r="D10" s="32">
        <v>49999</v>
      </c>
      <c r="E10" s="33">
        <v>0.06</v>
      </c>
      <c r="F10" s="32">
        <v>25000</v>
      </c>
      <c r="G10" s="34">
        <f t="shared" si="0"/>
        <v>1500</v>
      </c>
      <c r="H10" s="34">
        <f t="shared" si="1"/>
        <v>23500</v>
      </c>
    </row>
    <row r="11" spans="1:8" ht="19.5" customHeight="1" x14ac:dyDescent="0.35">
      <c r="A11" s="35">
        <v>6</v>
      </c>
      <c r="B11" s="36" t="s">
        <v>65</v>
      </c>
      <c r="C11" s="37">
        <v>50000</v>
      </c>
      <c r="D11" s="37">
        <v>99999</v>
      </c>
      <c r="E11" s="38">
        <v>0.05</v>
      </c>
      <c r="F11" s="37">
        <v>75000</v>
      </c>
      <c r="G11" s="39">
        <f t="shared" si="0"/>
        <v>3750</v>
      </c>
      <c r="H11" s="39">
        <f t="shared" si="1"/>
        <v>71250</v>
      </c>
    </row>
    <row r="12" spans="1:8" ht="19.5" customHeight="1" x14ac:dyDescent="0.35">
      <c r="A12" s="40">
        <v>7</v>
      </c>
      <c r="B12" s="41" t="s">
        <v>66</v>
      </c>
      <c r="C12" s="42">
        <v>100000</v>
      </c>
      <c r="D12" s="40" t="s">
        <v>67</v>
      </c>
      <c r="E12" s="43">
        <v>0.02</v>
      </c>
      <c r="F12" s="42">
        <v>150000</v>
      </c>
      <c r="G12" s="44">
        <f t="shared" si="0"/>
        <v>3000</v>
      </c>
      <c r="H12" s="44">
        <f t="shared" si="1"/>
        <v>147000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Normal="100" workbookViewId="0"/>
  </sheetViews>
  <sheetFormatPr defaultColWidth="8.6328125" defaultRowHeight="14.5" x14ac:dyDescent="0.35"/>
  <cols>
    <col min="1" max="1" width="24" customWidth="1"/>
    <col min="2" max="2" width="30" customWidth="1"/>
  </cols>
  <sheetData>
    <row r="1" spans="1:2" ht="30" customHeight="1" x14ac:dyDescent="0.4">
      <c r="A1" s="45" t="s">
        <v>68</v>
      </c>
    </row>
    <row r="2" spans="1:2" ht="9.75" customHeight="1" x14ac:dyDescent="0.35"/>
    <row r="3" spans="1:2" ht="21.75" customHeight="1" x14ac:dyDescent="0.35">
      <c r="A3" s="46" t="s">
        <v>69</v>
      </c>
      <c r="B3" s="47">
        <v>2500</v>
      </c>
    </row>
    <row r="4" spans="1:2" ht="21.75" customHeight="1" x14ac:dyDescent="0.35">
      <c r="A4" s="48" t="s">
        <v>70</v>
      </c>
      <c r="B4" s="49" t="str">
        <f>IF(B3&lt;=499,"≤ Rs. 499 (10%)",IF(B3&lt;=999,"Rs. 500–999 (9%)",IF(B3&lt;=4999,"Rs. 1,000–4,999 (8%)",IF(B3&lt;=9999,"Rs. 5,000–9,999 (7%)",IF(B3&lt;=49999,"Rs. 10,000–49,999 (6%)",IF(B3&lt;=99999,"Rs. 50,000–99,999 (5%)","Rs. 100,000+ (2%)"))))))</f>
        <v>Rs. 1,000–4,999 (8%)</v>
      </c>
    </row>
    <row r="5" spans="1:2" ht="21.75" customHeight="1" x14ac:dyDescent="0.35">
      <c r="A5" s="48" t="s">
        <v>71</v>
      </c>
      <c r="B5" s="50">
        <f>IF(B3&lt;=499,10%,IF(B3&lt;=999,9%,IF(B3&lt;=4999,8%,IF(B3&lt;=9999,7%,IF(B3&lt;=49999,6%,IF(B3&lt;=99999,5%,2%))))))</f>
        <v>0.08</v>
      </c>
    </row>
    <row r="6" spans="1:2" ht="21.75" customHeight="1" x14ac:dyDescent="0.35">
      <c r="A6" s="48" t="s">
        <v>72</v>
      </c>
      <c r="B6" s="51">
        <f>ROUND(B3*B5,0)</f>
        <v>200</v>
      </c>
    </row>
    <row r="7" spans="1:2" ht="21.75" customHeight="1" x14ac:dyDescent="0.35">
      <c r="A7" s="48" t="s">
        <v>73</v>
      </c>
      <c r="B7" s="52">
        <f>B3-B6</f>
        <v>2300</v>
      </c>
    </row>
    <row r="9" spans="1:2" x14ac:dyDescent="0.35">
      <c r="A9" s="53" t="s">
        <v>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Commission Slabs</vt:lpstr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11</cp:lastModifiedBy>
  <cp:revision>0</cp:revision>
  <dcterms:created xsi:type="dcterms:W3CDTF">2026-06-14T11:54:14Z</dcterms:created>
  <dcterms:modified xsi:type="dcterms:W3CDTF">2026-06-14T11:57:02Z</dcterms:modified>
  <dc:language>en-US</dc:language>
</cp:coreProperties>
</file>